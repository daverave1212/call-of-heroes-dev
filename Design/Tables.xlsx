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30" windowHeight="12900" activeTab="1"/>
  </bookViews>
  <sheets>
    <sheet name="Standard" sheetId="3" r:id="rId1"/>
    <sheet name="Sheet1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<sst xmlns="http://schemas.openxmlformats.org/spreadsheetml/2006/main" count="233" uniqueCount="144">
  <si>
    <t>1-Handed (base) (5.5 base + 3 stat = 8.5) (8.5 - 4 AC)*2 hands = 9</t>
  </si>
  <si>
    <t>2-Handed (base) (10 base + 3 stat = 13) (13 - 4 AC) = 9</t>
  </si>
  <si>
    <t>Defense vs Physical</t>
  </si>
  <si>
    <t>Damage Type</t>
  </si>
  <si>
    <t>1d12 - 1</t>
  </si>
  <si>
    <t>d6 + 2</t>
  </si>
  <si>
    <t>d8 + 1</t>
  </si>
  <si>
    <t>Defense vs Spells</t>
  </si>
  <si>
    <t>Choose Between</t>
  </si>
  <si>
    <t>d10</t>
  </si>
  <si>
    <t>3d4 - 2</t>
  </si>
  <si>
    <t>d4 + 3</t>
  </si>
  <si>
    <t>Cone / Line / Circle / Around</t>
  </si>
  <si>
    <t>Mobility</t>
  </si>
  <si>
    <t>2d6 - 2</t>
  </si>
  <si>
    <t>2d4</t>
  </si>
  <si>
    <t>Buff</t>
  </si>
  <si>
    <t>Pro and Con</t>
  </si>
  <si>
    <t>Stun / Slow / Snare / etc</t>
  </si>
  <si>
    <t>Zoning</t>
  </si>
  <si>
    <t>Weapon Damages based on stats</t>
  </si>
  <si>
    <t>Trap</t>
  </si>
  <si>
    <t>Player Level</t>
  </si>
  <si>
    <t>Base</t>
  </si>
  <si>
    <t>Plus Stat</t>
  </si>
  <si>
    <t>Minus AC</t>
  </si>
  <si>
    <t>Total DPR (both hands)</t>
  </si>
  <si>
    <t>Total DPR</t>
  </si>
  <si>
    <t>1-3</t>
  </si>
  <si>
    <t>+3</t>
  </si>
  <si>
    <t>4-7</t>
  </si>
  <si>
    <t>+4</t>
  </si>
  <si>
    <t>8-10</t>
  </si>
  <si>
    <t>+5</t>
  </si>
  <si>
    <t>Actions</t>
  </si>
  <si>
    <t>Charges</t>
  </si>
  <si>
    <t>Damage (3.5 Armor)</t>
  </si>
  <si>
    <t>Heal</t>
  </si>
  <si>
    <t>Ranged Penalty</t>
  </si>
  <si>
    <r>
      <rPr>
        <sz val="12"/>
        <rFont val="Calibri"/>
        <charset val="134"/>
        <scheme val="minor"/>
      </rPr>
      <t xml:space="preserve">   6.5 | </t>
    </r>
    <r>
      <rPr>
        <sz val="12"/>
        <color theme="4"/>
        <rFont val="Calibri"/>
        <charset val="134"/>
        <scheme val="minor"/>
      </rPr>
      <t>AoE 5</t>
    </r>
  </si>
  <si>
    <r>
      <rPr>
        <sz val="12"/>
        <rFont val="Calibri"/>
        <charset val="134"/>
        <scheme val="minor"/>
      </rPr>
      <t xml:space="preserve">   14 | </t>
    </r>
    <r>
      <rPr>
        <sz val="12"/>
        <color theme="4"/>
        <rFont val="Calibri"/>
        <charset val="134"/>
        <scheme val="minor"/>
      </rPr>
      <t>AoE 10</t>
    </r>
  </si>
  <si>
    <r>
      <rPr>
        <sz val="12"/>
        <rFont val="Calibri"/>
        <charset val="134"/>
        <scheme val="minor"/>
      </rPr>
      <t xml:space="preserve">   4.5 | </t>
    </r>
    <r>
      <rPr>
        <sz val="12"/>
        <color theme="4"/>
        <rFont val="Calibri"/>
        <charset val="134"/>
        <scheme val="minor"/>
      </rPr>
      <t>AoE 3</t>
    </r>
  </si>
  <si>
    <r>
      <rPr>
        <sz val="11"/>
        <color theme="1"/>
        <rFont val="Calibri"/>
        <charset val="134"/>
        <scheme val="minor"/>
      </rPr>
      <t xml:space="preserve">6 | </t>
    </r>
    <r>
      <rPr>
        <sz val="11"/>
        <color theme="4"/>
        <rFont val="Calibri"/>
        <charset val="134"/>
        <scheme val="minor"/>
      </rPr>
      <t>AoE 2</t>
    </r>
  </si>
  <si>
    <r>
      <rPr>
        <sz val="12"/>
        <rFont val="Calibri"/>
        <charset val="134"/>
        <scheme val="minor"/>
      </rPr>
      <t xml:space="preserve">   11 | </t>
    </r>
    <r>
      <rPr>
        <sz val="12"/>
        <color theme="4"/>
        <rFont val="Calibri"/>
        <charset val="134"/>
        <scheme val="minor"/>
      </rPr>
      <t>AoE 8</t>
    </r>
  </si>
  <si>
    <r>
      <rPr>
        <sz val="11"/>
        <color theme="1"/>
        <rFont val="Calibri"/>
        <charset val="134"/>
        <scheme val="minor"/>
      </rPr>
      <t xml:space="preserve">8 | </t>
    </r>
    <r>
      <rPr>
        <sz val="11"/>
        <color theme="4"/>
        <rFont val="Calibri"/>
        <charset val="134"/>
        <scheme val="minor"/>
      </rPr>
      <t>AoE 3</t>
    </r>
  </si>
  <si>
    <r>
      <rPr>
        <sz val="12"/>
        <color theme="1"/>
        <rFont val="Calibri"/>
        <charset val="134"/>
        <scheme val="minor"/>
      </rPr>
      <t xml:space="preserve">18.5 | </t>
    </r>
    <r>
      <rPr>
        <sz val="12"/>
        <color theme="4"/>
        <rFont val="Calibri"/>
        <charset val="134"/>
        <scheme val="minor"/>
      </rPr>
      <t>AoE 13</t>
    </r>
  </si>
  <si>
    <r>
      <rPr>
        <sz val="11"/>
        <color theme="1"/>
        <rFont val="Calibri"/>
        <charset val="134"/>
        <scheme val="minor"/>
      </rPr>
      <t xml:space="preserve">10 | </t>
    </r>
    <r>
      <rPr>
        <sz val="11"/>
        <color theme="4"/>
        <rFont val="Calibri"/>
        <charset val="134"/>
        <scheme val="minor"/>
      </rPr>
      <t>AoE 4</t>
    </r>
  </si>
  <si>
    <t>Pet Attack</t>
  </si>
  <si>
    <t>Pet Attack (Unique)</t>
  </si>
  <si>
    <t>Crowd Control</t>
  </si>
  <si>
    <t>Crowd Control Types</t>
  </si>
  <si>
    <t>Slow (as extra)</t>
  </si>
  <si>
    <t>Fumbling (as extra)</t>
  </si>
  <si>
    <t>Rooted</t>
  </si>
  <si>
    <t>Charm</t>
  </si>
  <si>
    <t>Daze (+extra)</t>
  </si>
  <si>
    <t>Blind</t>
  </si>
  <si>
    <t>Silence</t>
  </si>
  <si>
    <t>Feared</t>
  </si>
  <si>
    <t>Stun</t>
  </si>
  <si>
    <t>Cripple</t>
  </si>
  <si>
    <t>Slow + 0.5 Damage</t>
  </si>
  <si>
    <t>Snare + 0.75 Damage</t>
  </si>
  <si>
    <t>Stun + 0.3 Damage</t>
  </si>
  <si>
    <t>Monster Stats By Rating</t>
  </si>
  <si>
    <t>Experience</t>
  </si>
  <si>
    <t>Health</t>
  </si>
  <si>
    <t>Direct Damage / round</t>
  </si>
  <si>
    <t>Check Grade</t>
  </si>
  <si>
    <t>18.5 (avg) + 3 (avg)</t>
  </si>
  <si>
    <t>Level</t>
  </si>
  <si>
    <t>HP</t>
  </si>
  <si>
    <t>Health Regen (6 + 1 + 2*Level)</t>
  </si>
  <si>
    <t>Level 1</t>
  </si>
  <si>
    <t>Level 2</t>
  </si>
  <si>
    <t>Level 3</t>
  </si>
  <si>
    <t>TODO: Setup some good</t>
  </si>
  <si>
    <t>Level 4</t>
  </si>
  <si>
    <t>baseline damage for mobs</t>
  </si>
  <si>
    <t>at e.g. 200, 300, etc</t>
  </si>
  <si>
    <t>Level 5</t>
  </si>
  <si>
    <t>Go from there.</t>
  </si>
  <si>
    <t>Level 6</t>
  </si>
  <si>
    <t>Calculate 80 or 85% like</t>
  </si>
  <si>
    <t>normal epic monsters.</t>
  </si>
  <si>
    <t>Level 7</t>
  </si>
  <si>
    <t>Race</t>
  </si>
  <si>
    <t>Base Health</t>
  </si>
  <si>
    <t>Health Regen</t>
  </si>
  <si>
    <t>Total Health Per Adventure</t>
  </si>
  <si>
    <t>Level 8</t>
  </si>
  <si>
    <t>Bertle</t>
  </si>
  <si>
    <t>Davel</t>
  </si>
  <si>
    <t>Level 9</t>
  </si>
  <si>
    <t>Dragonborn</t>
  </si>
  <si>
    <t>12 (4d4 + 2)</t>
  </si>
  <si>
    <t>Dwarf</t>
  </si>
  <si>
    <t>Level 10</t>
  </si>
  <si>
    <t>12.5 (3d6 + 2)</t>
  </si>
  <si>
    <t>Elf</t>
  </si>
  <si>
    <t>13 (4d4 + 3)</t>
  </si>
  <si>
    <t>Gnome</t>
  </si>
  <si>
    <t>13.5 (3d6 + 3)</t>
  </si>
  <si>
    <t>Human</t>
  </si>
  <si>
    <t>Hollow</t>
  </si>
  <si>
    <t>Orc</t>
  </si>
  <si>
    <t>The double of another column should be 100% of that column
E.g. 400XP HP = 1.0 * 2 * 200XP HP</t>
  </si>
  <si>
    <t>Epic HP multpliers are:
x2: 0.8
x3: 0.75
x4: 0.7
x5: 0.65</t>
  </si>
  <si>
    <t>The double of another column
should be ~85% of its half
E.g. 400XP dmg = 0.85 * 2 * 200XP dmg</t>
  </si>
  <si>
    <t>Players total XP</t>
  </si>
  <si>
    <t>Monsters XP</t>
  </si>
  <si>
    <t>(PREVIOUSLY) The double of another column
should be 120% of that column
E.g. 400XP HP = 1.2 * 2 * 200XP HP</t>
  </si>
  <si>
    <t>900 (6 players)</t>
  </si>
  <si>
    <t>800 (Koblods + Rats)</t>
  </si>
  <si>
    <t>Easy</t>
  </si>
  <si>
    <t>775 (Oni + 3 Sk)</t>
  </si>
  <si>
    <t>900 (Goblins + Stg)</t>
  </si>
  <si>
    <t>Easy-Medium</t>
  </si>
  <si>
    <t>750 (5 players)</t>
  </si>
  <si>
    <t>950 (Gnawls)</t>
  </si>
  <si>
    <t>825 (5 or 6 players)</t>
  </si>
  <si>
    <t>1125 (Lich + 3 Sk)</t>
  </si>
  <si>
    <t>Hard</t>
  </si>
  <si>
    <t>Cleric</t>
  </si>
  <si>
    <t>Druid</t>
  </si>
  <si>
    <t>Hunter</t>
  </si>
  <si>
    <t>Rogue</t>
  </si>
  <si>
    <t>Warlock</t>
  </si>
  <si>
    <t>Warrior</t>
  </si>
  <si>
    <t>Wizard</t>
  </si>
  <si>
    <t>Artificer</t>
  </si>
  <si>
    <t>Knight</t>
  </si>
  <si>
    <t>Sorcerer</t>
  </si>
  <si>
    <t>Swashbuckler</t>
  </si>
  <si>
    <t>Minor</t>
  </si>
  <si>
    <t>Spec (Minor)</t>
  </si>
  <si>
    <t>Spec (Keystone)</t>
  </si>
  <si>
    <t>Keystone</t>
  </si>
  <si>
    <t>Other</t>
  </si>
  <si>
    <t>Upgrade</t>
  </si>
  <si>
    <t>Util</t>
  </si>
  <si>
    <t>Other     ]</t>
  </si>
  <si>
    <t>[     Other</t>
  </si>
  <si>
    <t>Ult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</si>
</sst>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1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3"/>
      <color theme="1"/>
      <name val="Calibri"/>
      <charset val="134"/>
      <scheme val="minor"/>
    </font>
    <font>
      <sz val="13"/>
      <color theme="1"/>
      <name val="Calibri"/>
      <charset val="134"/>
      <scheme val="minor"/>
    </font>
    <font>
      <b/>
      <sz val="13"/>
      <color theme="4" tint="-0.25"/>
      <name val="Calibri"/>
      <charset val="134"/>
      <scheme val="minor"/>
    </font>
    <font>
      <b/>
      <sz val="12"/>
      <color theme="9" tint="-0.24997711111789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b/>
      <sz val="12"/>
      <color rgb="FF00B0F0"/>
      <name val="Calibri"/>
      <charset val="134"/>
      <scheme val="minor"/>
    </font>
    <font>
      <sz val="12"/>
      <name val="Calibri"/>
      <charset val="134"/>
      <scheme val="minor"/>
    </font>
    <font>
      <sz val="12"/>
      <color theme="0" tint="-0.249977111117893"/>
      <name val="Calibri"/>
      <charset val="134"/>
      <scheme val="minor"/>
    </font>
    <font>
      <b/>
      <sz val="11"/>
      <color rgb="FF7030A0"/>
      <name val="Calibri"/>
      <charset val="134"/>
      <scheme val="minor"/>
    </font>
    <font>
      <sz val="11"/>
      <color theme="4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CB5D13"/>
      <name val="Calibri"/>
      <charset val="134"/>
      <scheme val="minor"/>
    </font>
    <font>
      <b/>
      <sz val="12"/>
      <color rgb="FFF68E0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theme="4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1FF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" borderId="19" applyNumberFormat="0" applyAlignment="0" applyProtection="0">
      <alignment vertical="center"/>
    </xf>
    <xf numFmtId="0" fontId="30" fillId="5" borderId="20" applyNumberFormat="0" applyAlignment="0" applyProtection="0">
      <alignment vertical="center"/>
    </xf>
    <xf numFmtId="0" fontId="31" fillId="5" borderId="19" applyNumberFormat="0" applyAlignment="0" applyProtection="0">
      <alignment vertical="center"/>
    </xf>
    <xf numFmtId="0" fontId="32" fillId="6" borderId="21" applyNumberFormat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9" fillId="0" borderId="13" xfId="0" applyFont="1" applyBorder="1">
      <alignment vertical="center"/>
    </xf>
    <xf numFmtId="0" fontId="7" fillId="0" borderId="0" xfId="0" applyFont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11" fillId="0" borderId="1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0" fillId="0" borderId="4" xfId="0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0" fillId="0" borderId="6" xfId="0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10" xfId="0" applyFon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6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" fontId="0" fillId="0" borderId="2" xfId="0" applyNumberFormat="1" applyBorder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15" xfId="0" applyBorder="1" applyAlignment="1" quotePrefix="1">
      <alignment horizontal="center" vertical="center"/>
    </xf>
    <xf numFmtId="0" fontId="0" fillId="0" borderId="12" xfId="0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B5D13"/>
      <color rgb="00F68E08"/>
      <color rgb="00FFC423"/>
      <color rgb="00F4B200"/>
      <color rgb="00CBFFFA"/>
      <color rgb="00B1FF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11"/>
  <sheetViews>
    <sheetView topLeftCell="A6" workbookViewId="0">
      <selection activeCell="D22" sqref="D22"/>
    </sheetView>
  </sheetViews>
  <sheetFormatPr defaultColWidth="9.15238095238095" defaultRowHeight="15"/>
  <cols>
    <col min="1" max="1" width="17.2571428571429" customWidth="1"/>
    <col min="2" max="2" width="19.7333333333333" customWidth="1"/>
    <col min="3" max="3" width="24.4761904761905" customWidth="1"/>
    <col min="4" max="4" width="26.8285714285714" customWidth="1"/>
    <col min="5" max="5" width="30.7904761904762" customWidth="1"/>
    <col min="6" max="6" width="24.5809523809524" customWidth="1"/>
    <col min="7" max="7" width="27.9428571428571" customWidth="1"/>
    <col min="8" max="8" width="21" customWidth="1"/>
    <col min="9" max="9" width="25.952380952381" customWidth="1"/>
    <col min="10" max="10" width="23.7238095238095" customWidth="1"/>
    <col min="11" max="11" width="17.152380952381" customWidth="1"/>
    <col min="12" max="12" width="23" customWidth="1"/>
    <col min="13" max="13" width="14.152380952381" customWidth="1"/>
    <col min="14" max="14" width="11" customWidth="1"/>
  </cols>
  <sheetData>
    <row r="2" ht="15.75"/>
    <row r="3" ht="16.5" spans="1:14">
      <c r="B3" s="11" t="s">
        <v>0</v>
      </c>
      <c r="C3" s="12"/>
      <c r="D3" s="13"/>
      <c r="E3" s="14" t="s">
        <v>1</v>
      </c>
      <c r="F3" s="15"/>
      <c r="G3" s="16"/>
      <c r="L3" s="17" t="s">
        <v>2</v>
      </c>
      <c r="M3" s="18" t="s">
        <v>3</v>
      </c>
      <c r="N3" s="17"/>
    </row>
    <row r="4" ht="15.75" spans="1:14">
      <c r="B4" s="19" t="s">
        <v>4</v>
      </c>
      <c r="C4" s="20" t="s">
        <v>5</v>
      </c>
      <c r="D4" s="21" t="s">
        <v>6</v>
      </c>
      <c r="E4" s="20"/>
      <c r="F4" s="20"/>
      <c r="G4" s="20"/>
      <c r="L4" s="17" t="s">
        <v>7</v>
      </c>
      <c r="M4" s="18" t="s">
        <v>8</v>
      </c>
      <c r="N4" s="17"/>
    </row>
    <row r="5" ht="15.75" spans="1:14">
      <c r="B5" s="19" t="s">
        <v>9</v>
      </c>
      <c r="C5" s="20" t="s">
        <v>10</v>
      </c>
      <c r="D5" s="21" t="s">
        <v>11</v>
      </c>
      <c r="E5" s="20"/>
      <c r="F5" s="20"/>
      <c r="G5" s="20"/>
      <c r="L5" s="17" t="s">
        <v>12</v>
      </c>
      <c r="M5" s="18" t="s">
        <v>13</v>
      </c>
      <c r="N5" s="18"/>
    </row>
    <row r="6" ht="16.5" spans="1:14">
      <c r="B6" s="22" t="s">
        <v>14</v>
      </c>
      <c r="C6" s="23" t="s">
        <v>15</v>
      </c>
      <c r="D6" s="24"/>
      <c r="E6" s="20"/>
      <c r="F6" s="20"/>
      <c r="G6" s="20"/>
      <c r="L6" s="17" t="s">
        <v>16</v>
      </c>
      <c r="M6" s="18" t="s">
        <v>17</v>
      </c>
      <c r="N6" s="18"/>
    </row>
    <row r="7" ht="16.5" spans="1:14">
      <c r="E7" s="20"/>
      <c r="F7" s="20"/>
      <c r="G7" s="20"/>
      <c r="L7" s="25" t="s">
        <v>18</v>
      </c>
      <c r="M7" s="18" t="s">
        <v>19</v>
      </c>
      <c r="N7" s="18"/>
    </row>
    <row r="8" ht="16.5" spans="1:14">
      <c r="C8" s="26" t="s">
        <v>20</v>
      </c>
      <c r="D8" s="27"/>
      <c r="E8" s="27"/>
      <c r="F8" s="28"/>
      <c r="G8" s="29"/>
      <c r="L8" s="25" t="s">
        <v>21</v>
      </c>
      <c r="M8" s="25"/>
      <c r="N8" s="17"/>
    </row>
    <row r="9" spans="1:14">
      <c r="A9" s="30" t="s">
        <v>22</v>
      </c>
      <c r="B9" s="31" t="s">
        <v>23</v>
      </c>
      <c r="C9" s="32" t="s">
        <v>24</v>
      </c>
      <c r="D9" s="32" t="s">
        <v>25</v>
      </c>
      <c r="E9" s="33" t="s">
        <v>26</v>
      </c>
      <c r="F9" s="31" t="s">
        <v>23</v>
      </c>
      <c r="G9" s="32" t="s">
        <v>24</v>
      </c>
      <c r="H9" s="32" t="s">
        <v>25</v>
      </c>
      <c r="I9" s="33" t="s">
        <v>27</v>
      </c>
    </row>
    <row r="10" spans="1:14">
      <c r="A10" s="108" t="s">
        <v>28</v>
      </c>
      <c r="B10" s="35">
        <v>5.5</v>
      </c>
      <c r="C10" s="109" t="s">
        <v>29</v>
      </c>
      <c r="D10" s="36">
        <v>-4</v>
      </c>
      <c r="E10" s="37">
        <v>9</v>
      </c>
      <c r="F10" s="38">
        <v>10.5</v>
      </c>
      <c r="G10" s="109" t="s">
        <v>29</v>
      </c>
      <c r="H10" s="36">
        <v>-4</v>
      </c>
      <c r="I10" s="37">
        <v>9.5</v>
      </c>
    </row>
    <row r="11" spans="1:14">
      <c r="A11" s="108" t="s">
        <v>30</v>
      </c>
      <c r="B11" s="35">
        <v>5.5</v>
      </c>
      <c r="C11" s="109" t="s">
        <v>31</v>
      </c>
      <c r="D11" s="36">
        <v>-4</v>
      </c>
      <c r="E11" s="37">
        <v>11</v>
      </c>
      <c r="F11" s="38">
        <v>10.5</v>
      </c>
      <c r="G11" s="109" t="s">
        <v>31</v>
      </c>
      <c r="H11" s="36">
        <v>-4</v>
      </c>
      <c r="I11" s="37">
        <v>10.5</v>
      </c>
    </row>
    <row r="12" ht="15.75" spans="1:14">
      <c r="A12" s="110" t="s">
        <v>32</v>
      </c>
      <c r="B12" s="40">
        <v>5.5</v>
      </c>
      <c r="C12" s="111" t="s">
        <v>33</v>
      </c>
      <c r="D12" s="41">
        <v>-5</v>
      </c>
      <c r="E12" s="42">
        <v>11</v>
      </c>
      <c r="F12" s="43">
        <v>10.5</v>
      </c>
      <c r="G12" s="111" t="s">
        <v>33</v>
      </c>
      <c r="H12" s="41">
        <v>-5</v>
      </c>
      <c r="I12" s="42">
        <v>11.5</v>
      </c>
    </row>
    <row r="14" spans="1:14">
      <c r="B14">
        <v>16.5</v>
      </c>
      <c r="C14">
        <f>5.5+4.5+3.5</f>
        <v>13.5</v>
      </c>
      <c r="D14">
        <f>13.5+9</f>
        <v>22.5</v>
      </c>
    </row>
    <row r="15" ht="15.75" spans="1:14">
      <c r="B15" s="36"/>
      <c r="D15" s="36"/>
      <c r="E15" s="36"/>
      <c r="F15" s="36"/>
    </row>
    <row r="16" ht="15.75" spans="1:14">
      <c r="A16" s="44" t="s">
        <v>34</v>
      </c>
      <c r="B16" s="45" t="s">
        <v>35</v>
      </c>
      <c r="C16" s="46" t="s">
        <v>36</v>
      </c>
      <c r="D16" s="47" t="s">
        <v>37</v>
      </c>
      <c r="E16" s="46" t="s">
        <v>38</v>
      </c>
      <c r="H16" s="36"/>
    </row>
    <row r="17" ht="15.75" spans="1:12">
      <c r="A17" s="48">
        <v>0</v>
      </c>
      <c r="B17" s="49">
        <v>0</v>
      </c>
      <c r="C17" s="50">
        <v>0</v>
      </c>
      <c r="D17" s="36">
        <v>0</v>
      </c>
      <c r="E17" s="51">
        <v>0</v>
      </c>
      <c r="H17" s="36"/>
    </row>
    <row r="18" ht="15.75" spans="1:12">
      <c r="A18" s="48">
        <v>0.5</v>
      </c>
      <c r="B18" s="49">
        <v>0</v>
      </c>
      <c r="C18" s="52" t="s">
        <v>39</v>
      </c>
      <c r="D18" s="36">
        <v>0</v>
      </c>
      <c r="E18" s="51">
        <v>-1</v>
      </c>
      <c r="H18" s="53"/>
      <c r="K18" s="17"/>
    </row>
    <row r="19" ht="15.75" spans="1:12">
      <c r="A19" s="48">
        <v>1</v>
      </c>
      <c r="B19" s="49">
        <v>0</v>
      </c>
      <c r="C19" s="52" t="s">
        <v>40</v>
      </c>
      <c r="D19" s="36">
        <v>0</v>
      </c>
      <c r="E19" s="51">
        <v>-2</v>
      </c>
      <c r="H19" s="18"/>
      <c r="K19" s="17"/>
    </row>
    <row r="20" ht="15.75" spans="1:12">
      <c r="A20" s="54">
        <v>0</v>
      </c>
      <c r="B20" s="55">
        <v>1</v>
      </c>
      <c r="C20" s="56" t="s">
        <v>41</v>
      </c>
      <c r="D20" s="57" t="s">
        <v>42</v>
      </c>
      <c r="E20" s="58">
        <v>-1</v>
      </c>
      <c r="H20" s="53"/>
      <c r="J20" s="59"/>
      <c r="K20" s="17"/>
    </row>
    <row r="21" ht="15.75" spans="1:12">
      <c r="A21" s="48">
        <v>0.5</v>
      </c>
      <c r="B21" s="49">
        <v>1</v>
      </c>
      <c r="C21" s="52" t="s">
        <v>43</v>
      </c>
      <c r="D21" s="60" t="s">
        <v>44</v>
      </c>
      <c r="E21" s="51">
        <v>-2</v>
      </c>
      <c r="H21" s="18"/>
      <c r="K21" s="17"/>
    </row>
    <row r="22" ht="16.5" spans="1:12">
      <c r="A22" s="61">
        <v>1</v>
      </c>
      <c r="B22" s="62">
        <v>1</v>
      </c>
      <c r="C22" s="62" t="s">
        <v>45</v>
      </c>
      <c r="D22" s="41" t="s">
        <v>46</v>
      </c>
      <c r="E22" s="39">
        <v>-3</v>
      </c>
      <c r="H22" s="18"/>
      <c r="K22" s="17"/>
    </row>
    <row r="23" ht="15.75" spans="1:12">
      <c r="A23" s="63">
        <v>1</v>
      </c>
      <c r="B23" s="64" t="s">
        <v>47</v>
      </c>
      <c r="C23" s="65">
        <v>6</v>
      </c>
      <c r="D23" s="64">
        <v>2</v>
      </c>
      <c r="E23" s="46">
        <v>3</v>
      </c>
      <c r="G23" s="36"/>
      <c r="H23" s="17"/>
      <c r="I23" s="17"/>
      <c r="J23" s="17"/>
      <c r="K23" s="17"/>
    </row>
    <row r="24" ht="16.5" spans="1:12">
      <c r="A24" s="61">
        <v>1</v>
      </c>
      <c r="B24" s="62" t="s">
        <v>48</v>
      </c>
      <c r="C24" s="66">
        <v>8</v>
      </c>
      <c r="D24" s="62">
        <v>4</v>
      </c>
      <c r="E24" s="39">
        <v>5.5</v>
      </c>
      <c r="G24" s="36"/>
      <c r="H24" s="17"/>
      <c r="I24" s="17"/>
      <c r="J24" s="17"/>
      <c r="K24" s="17"/>
    </row>
    <row r="25" ht="16.5" spans="1:12">
      <c r="A25" s="67"/>
      <c r="B25" s="18"/>
      <c r="C25" s="18"/>
      <c r="D25" s="18"/>
      <c r="E25" s="36"/>
      <c r="F25" s="36"/>
      <c r="G25" s="59"/>
      <c r="H25" s="36"/>
      <c r="I25" s="17"/>
      <c r="J25" s="17"/>
      <c r="K25" s="68"/>
    </row>
    <row r="26" ht="15.75" spans="1:12">
      <c r="A26" s="69"/>
      <c r="B26" s="47"/>
      <c r="C26" s="70" t="s">
        <v>49</v>
      </c>
      <c r="D26" s="71"/>
      <c r="E26" s="71"/>
      <c r="F26" s="72"/>
      <c r="K26" s="36"/>
    </row>
    <row r="27" ht="16.5" spans="1:12">
      <c r="A27" s="73" t="s">
        <v>34</v>
      </c>
      <c r="B27" s="74" t="s">
        <v>35</v>
      </c>
      <c r="C27" s="75" t="s">
        <v>50</v>
      </c>
      <c r="D27" s="76"/>
      <c r="E27" s="76"/>
      <c r="F27" s="77"/>
      <c r="K27" s="78"/>
      <c r="L27" s="78"/>
    </row>
    <row r="28" spans="1:12">
      <c r="A28" s="35">
        <v>0</v>
      </c>
      <c r="B28" s="36">
        <v>0</v>
      </c>
      <c r="C28" s="35" t="s">
        <v>51</v>
      </c>
      <c r="D28" s="36" t="s">
        <v>52</v>
      </c>
      <c r="E28" s="47"/>
      <c r="F28" s="79"/>
      <c r="K28" s="36"/>
    </row>
    <row r="29" spans="1:12">
      <c r="A29" s="35">
        <v>0.5</v>
      </c>
      <c r="B29" s="36">
        <v>0</v>
      </c>
      <c r="C29" s="80" t="s">
        <v>53</v>
      </c>
      <c r="D29" s="81" t="s">
        <v>54</v>
      </c>
      <c r="E29" s="36"/>
      <c r="F29" s="37"/>
      <c r="K29" s="36"/>
    </row>
    <row r="30" spans="1:12">
      <c r="A30" s="35">
        <v>1</v>
      </c>
      <c r="B30" s="36">
        <v>0</v>
      </c>
      <c r="C30" s="82"/>
      <c r="D30" s="83"/>
      <c r="E30" s="83"/>
      <c r="F30" s="84"/>
      <c r="K30" s="36"/>
    </row>
    <row r="31" spans="1:12">
      <c r="A31" s="35">
        <v>0</v>
      </c>
      <c r="B31" s="36">
        <v>1</v>
      </c>
      <c r="C31" s="35" t="s">
        <v>55</v>
      </c>
      <c r="D31" s="36" t="s">
        <v>56</v>
      </c>
      <c r="E31" s="36" t="s">
        <v>57</v>
      </c>
      <c r="F31" s="37" t="s">
        <v>58</v>
      </c>
    </row>
    <row r="32" spans="1:12">
      <c r="A32" s="35">
        <v>0.5</v>
      </c>
      <c r="B32" s="36">
        <v>1</v>
      </c>
      <c r="C32" s="35" t="s">
        <v>59</v>
      </c>
      <c r="D32" s="36" t="s">
        <v>60</v>
      </c>
      <c r="E32" s="36"/>
      <c r="F32" s="37"/>
    </row>
    <row r="33" ht="15.75" spans="1:11">
      <c r="A33" s="40">
        <v>1</v>
      </c>
      <c r="B33" s="41">
        <v>1</v>
      </c>
      <c r="C33" s="40"/>
      <c r="D33" s="41"/>
      <c r="E33" s="41"/>
      <c r="F33" s="42"/>
    </row>
    <row r="34" ht="15.75" spans="1:11">
      <c r="A34" s="63">
        <v>1</v>
      </c>
      <c r="B34" s="85" t="s">
        <v>47</v>
      </c>
      <c r="C34" s="69" t="s">
        <v>61</v>
      </c>
      <c r="D34" s="86"/>
      <c r="E34" s="86"/>
      <c r="F34" s="85"/>
      <c r="K34" s="18"/>
    </row>
    <row r="35" ht="16.5" spans="1:11">
      <c r="A35" s="61">
        <v>1</v>
      </c>
      <c r="B35" s="87" t="s">
        <v>48</v>
      </c>
      <c r="C35" s="61" t="s">
        <v>62</v>
      </c>
      <c r="D35" s="88" t="s">
        <v>63</v>
      </c>
      <c r="E35" s="88"/>
      <c r="F35" s="87"/>
      <c r="K35" s="18"/>
    </row>
    <row r="36" ht="15.75" spans="1:11">
      <c r="A36" s="18"/>
      <c r="B36" s="18"/>
      <c r="C36" s="18"/>
      <c r="D36" s="18"/>
      <c r="E36" s="18"/>
      <c r="F36" s="18"/>
      <c r="G36" s="18"/>
      <c r="H36" s="18"/>
      <c r="I36" s="36"/>
      <c r="J36" s="36"/>
      <c r="K36" s="18"/>
    </row>
    <row r="37" ht="16.5" spans="1:11">
      <c r="A37" s="18"/>
      <c r="B37" s="18"/>
      <c r="C37" s="18"/>
      <c r="D37" s="18"/>
      <c r="E37" s="18"/>
      <c r="F37" s="18"/>
      <c r="G37" s="18"/>
      <c r="H37" s="18"/>
      <c r="I37" s="36"/>
      <c r="J37" s="36"/>
      <c r="K37" s="18"/>
    </row>
    <row r="38" ht="16.5" spans="1:11">
      <c r="A38" s="18"/>
      <c r="C38" s="63" t="s">
        <v>64</v>
      </c>
      <c r="D38" s="85"/>
      <c r="F38" s="18"/>
      <c r="G38" s="18"/>
      <c r="H38" s="67"/>
      <c r="I38" s="18"/>
      <c r="J38" s="36"/>
      <c r="K38" s="18"/>
    </row>
    <row r="39" ht="16.5" spans="1:11">
      <c r="A39" s="67"/>
      <c r="B39" s="69" t="s">
        <v>65</v>
      </c>
      <c r="C39" s="47" t="s">
        <v>66</v>
      </c>
      <c r="D39" s="47" t="s">
        <v>67</v>
      </c>
      <c r="E39" s="85" t="s">
        <v>68</v>
      </c>
      <c r="G39" s="36"/>
      <c r="H39" s="36" t="s">
        <v>69</v>
      </c>
      <c r="I39" s="36"/>
      <c r="J39" s="36"/>
      <c r="K39" s="89"/>
    </row>
    <row r="40" ht="15.75" spans="1:11">
      <c r="A40" s="67"/>
      <c r="B40" s="35">
        <v>25</v>
      </c>
      <c r="C40" s="36">
        <v>7</v>
      </c>
      <c r="D40" s="36">
        <v>1.5</v>
      </c>
      <c r="E40" s="90">
        <v>10</v>
      </c>
      <c r="G40" s="69" t="s">
        <v>70</v>
      </c>
      <c r="H40" s="46" t="s">
        <v>71</v>
      </c>
      <c r="I40" s="46" t="s">
        <v>72</v>
      </c>
      <c r="K40" s="18"/>
    </row>
    <row r="41" ht="15.75" spans="1:11">
      <c r="A41" s="67"/>
      <c r="B41" s="35">
        <v>50</v>
      </c>
      <c r="C41" s="36">
        <v>14</v>
      </c>
      <c r="D41" s="36">
        <v>2.5</v>
      </c>
      <c r="E41" s="90">
        <v>10</v>
      </c>
      <c r="G41" s="35">
        <v>1</v>
      </c>
      <c r="H41" s="51">
        <v>21.5</v>
      </c>
      <c r="I41" s="51">
        <v>7</v>
      </c>
      <c r="K41" s="18"/>
    </row>
    <row r="42" ht="15.75" spans="1:11">
      <c r="A42" s="67"/>
      <c r="B42" s="35">
        <v>75</v>
      </c>
      <c r="C42" s="36">
        <v>20</v>
      </c>
      <c r="D42" s="36">
        <v>3.5</v>
      </c>
      <c r="E42" s="90">
        <v>10</v>
      </c>
      <c r="G42" s="35">
        <v>2</v>
      </c>
      <c r="H42" s="51">
        <v>25.5</v>
      </c>
      <c r="I42" s="51">
        <v>9</v>
      </c>
      <c r="K42" s="18"/>
    </row>
    <row r="43" ht="15.75" spans="1:11">
      <c r="A43" s="67" t="s">
        <v>73</v>
      </c>
      <c r="B43" s="48">
        <v>100</v>
      </c>
      <c r="C43" s="36">
        <v>25</v>
      </c>
      <c r="D43" s="18">
        <v>5</v>
      </c>
      <c r="E43" s="90">
        <v>10</v>
      </c>
      <c r="G43" s="35">
        <v>3</v>
      </c>
      <c r="H43" s="51">
        <v>29.5</v>
      </c>
      <c r="I43" s="51">
        <v>11</v>
      </c>
      <c r="K43" s="18"/>
    </row>
    <row r="44" ht="15.75" spans="1:11">
      <c r="A44" s="67" t="s">
        <v>74</v>
      </c>
      <c r="B44" s="35">
        <v>125</v>
      </c>
      <c r="C44" s="36">
        <v>30</v>
      </c>
      <c r="D44" s="18">
        <v>6.5</v>
      </c>
      <c r="E44" s="90">
        <v>10</v>
      </c>
      <c r="G44" s="35">
        <v>4</v>
      </c>
      <c r="H44" s="51">
        <v>33.5</v>
      </c>
      <c r="I44" s="51">
        <v>13</v>
      </c>
      <c r="K44" s="18"/>
    </row>
    <row r="45" ht="15.75" spans="1:11">
      <c r="A45" s="67"/>
      <c r="B45" s="35">
        <v>150</v>
      </c>
      <c r="C45" s="36">
        <v>35</v>
      </c>
      <c r="D45" s="18">
        <v>7.5</v>
      </c>
      <c r="E45" s="90">
        <v>10</v>
      </c>
      <c r="G45" s="35">
        <v>5</v>
      </c>
      <c r="H45" s="51">
        <v>37.5</v>
      </c>
      <c r="I45" s="51">
        <v>15</v>
      </c>
      <c r="K45" s="18"/>
    </row>
    <row r="46" ht="15.75" spans="1:11">
      <c r="A46" s="67" t="s">
        <v>75</v>
      </c>
      <c r="B46" s="35">
        <v>175</v>
      </c>
      <c r="C46" s="36">
        <v>40</v>
      </c>
      <c r="D46" s="18">
        <v>8.5</v>
      </c>
      <c r="E46" s="90">
        <v>10</v>
      </c>
      <c r="F46" t="s">
        <v>76</v>
      </c>
      <c r="G46" s="35">
        <v>6</v>
      </c>
      <c r="H46" s="51">
        <v>41.5</v>
      </c>
      <c r="I46" s="51">
        <v>17</v>
      </c>
      <c r="K46" s="18"/>
    </row>
    <row r="47" ht="15.75" spans="1:11">
      <c r="A47" s="67" t="s">
        <v>77</v>
      </c>
      <c r="B47" s="35">
        <v>200</v>
      </c>
      <c r="C47" s="36">
        <v>45</v>
      </c>
      <c r="D47" s="18">
        <v>9.5</v>
      </c>
      <c r="E47" s="90">
        <v>11</v>
      </c>
      <c r="F47" t="s">
        <v>78</v>
      </c>
      <c r="G47" s="35">
        <v>7</v>
      </c>
      <c r="H47" s="51">
        <v>45.5</v>
      </c>
      <c r="I47" s="51">
        <v>19</v>
      </c>
      <c r="K47" s="18"/>
    </row>
    <row r="48" ht="15.75" spans="1:11">
      <c r="A48" s="67"/>
      <c r="B48" s="48">
        <v>225</v>
      </c>
      <c r="C48" s="36">
        <v>50</v>
      </c>
      <c r="D48" s="18">
        <v>10.5</v>
      </c>
      <c r="E48" s="90">
        <v>11</v>
      </c>
      <c r="F48" t="s">
        <v>79</v>
      </c>
      <c r="G48" s="35">
        <v>8</v>
      </c>
      <c r="H48" s="51">
        <v>49.5</v>
      </c>
      <c r="I48" s="51">
        <v>21</v>
      </c>
      <c r="K48" s="18"/>
    </row>
    <row r="49" ht="15.75" spans="1:13">
      <c r="A49" s="67" t="s">
        <v>80</v>
      </c>
      <c r="B49" s="35">
        <v>250</v>
      </c>
      <c r="C49" s="36">
        <v>55</v>
      </c>
      <c r="D49" s="18">
        <v>11.5</v>
      </c>
      <c r="E49" s="90">
        <v>11</v>
      </c>
      <c r="F49" t="s">
        <v>81</v>
      </c>
      <c r="G49" s="35">
        <v>9</v>
      </c>
      <c r="H49" s="51">
        <v>53.5</v>
      </c>
      <c r="I49" s="51">
        <v>23</v>
      </c>
      <c r="K49" s="18"/>
    </row>
    <row r="50" ht="16.5" spans="1:13">
      <c r="A50" s="67" t="s">
        <v>82</v>
      </c>
      <c r="B50" s="35">
        <v>275</v>
      </c>
      <c r="C50" s="36">
        <v>60</v>
      </c>
      <c r="D50" s="18">
        <v>12.5</v>
      </c>
      <c r="E50" s="90">
        <v>11</v>
      </c>
      <c r="F50" t="s">
        <v>83</v>
      </c>
      <c r="G50" s="40">
        <v>10</v>
      </c>
      <c r="H50" s="39">
        <v>57.5</v>
      </c>
      <c r="I50" s="39">
        <v>25</v>
      </c>
      <c r="K50" s="18"/>
    </row>
    <row r="51" ht="16.5" spans="1:13">
      <c r="A51" s="67"/>
      <c r="B51" s="91">
        <v>300</v>
      </c>
      <c r="C51" s="36">
        <v>65</v>
      </c>
      <c r="D51" s="18">
        <v>13.5</v>
      </c>
      <c r="E51" s="37">
        <v>12</v>
      </c>
      <c r="F51" t="s">
        <v>84</v>
      </c>
      <c r="G51" s="36"/>
      <c r="H51" s="36"/>
      <c r="I51" s="92"/>
      <c r="J51" s="92"/>
      <c r="K51" s="17"/>
      <c r="M51" s="18"/>
    </row>
    <row r="52" ht="16.5" spans="1:13">
      <c r="A52" s="93" t="s">
        <v>85</v>
      </c>
      <c r="B52" s="91">
        <v>325</v>
      </c>
      <c r="C52" s="36">
        <v>70</v>
      </c>
      <c r="D52" s="18">
        <v>14.5</v>
      </c>
      <c r="E52" s="37">
        <v>12</v>
      </c>
      <c r="G52" s="94" t="s">
        <v>86</v>
      </c>
      <c r="H52" s="94" t="s">
        <v>87</v>
      </c>
      <c r="I52" s="95" t="s">
        <v>88</v>
      </c>
      <c r="J52" s="96" t="s">
        <v>89</v>
      </c>
      <c r="M52" s="18"/>
    </row>
    <row r="53" ht="15.75" spans="1:13">
      <c r="A53" s="93" t="s">
        <v>90</v>
      </c>
      <c r="B53" s="35">
        <v>350</v>
      </c>
      <c r="C53" s="36">
        <v>75</v>
      </c>
      <c r="D53" s="18">
        <v>15.5</v>
      </c>
      <c r="E53" s="37">
        <v>12</v>
      </c>
      <c r="G53" s="97" t="s">
        <v>91</v>
      </c>
      <c r="H53" s="97">
        <v>16</v>
      </c>
      <c r="I53" s="46">
        <v>8</v>
      </c>
      <c r="J53" s="79">
        <f>H53+2*I53</f>
        <v>32</v>
      </c>
      <c r="M53" s="18"/>
    </row>
    <row r="54" ht="16.5" spans="1:13">
      <c r="A54" s="93"/>
      <c r="B54" s="61">
        <v>375</v>
      </c>
      <c r="C54" s="41">
        <v>80</v>
      </c>
      <c r="D54" s="41">
        <v>10.5</v>
      </c>
      <c r="E54" s="42">
        <v>12</v>
      </c>
      <c r="G54" s="35" t="s">
        <v>92</v>
      </c>
      <c r="H54" s="35">
        <v>18</v>
      </c>
      <c r="I54" s="51">
        <v>7</v>
      </c>
      <c r="J54" s="37">
        <f>H54+2*I54</f>
        <v>32</v>
      </c>
    </row>
    <row r="55" ht="15.75" spans="1:13">
      <c r="A55" s="67" t="s">
        <v>93</v>
      </c>
      <c r="B55" s="35">
        <v>400</v>
      </c>
      <c r="C55" s="36">
        <v>85</v>
      </c>
      <c r="D55" s="36">
        <v>11</v>
      </c>
      <c r="E55" s="37">
        <v>12</v>
      </c>
      <c r="G55" s="35" t="s">
        <v>94</v>
      </c>
      <c r="H55" s="35">
        <v>21</v>
      </c>
      <c r="I55" s="51">
        <v>5</v>
      </c>
      <c r="J55" s="37">
        <f t="shared" ref="J55:J61" si="0">H55+2*I55</f>
        <v>31</v>
      </c>
    </row>
    <row r="56" ht="15.75" spans="1:13">
      <c r="A56" s="67"/>
      <c r="B56" s="35">
        <v>425</v>
      </c>
      <c r="C56" s="36">
        <v>90</v>
      </c>
      <c r="D56" s="36" t="s">
        <v>95</v>
      </c>
      <c r="E56" s="37">
        <v>12</v>
      </c>
      <c r="G56" s="35" t="s">
        <v>96</v>
      </c>
      <c r="H56" s="35">
        <v>22</v>
      </c>
      <c r="I56" s="51">
        <v>5</v>
      </c>
      <c r="J56" s="37">
        <f t="shared" si="0"/>
        <v>32</v>
      </c>
    </row>
    <row r="57" ht="15.75" spans="1:13">
      <c r="A57" s="67" t="s">
        <v>97</v>
      </c>
      <c r="B57" s="35">
        <v>450</v>
      </c>
      <c r="C57" s="36">
        <v>95</v>
      </c>
      <c r="D57" s="36" t="s">
        <v>98</v>
      </c>
      <c r="E57" s="37">
        <v>12</v>
      </c>
      <c r="G57" s="38" t="s">
        <v>99</v>
      </c>
      <c r="H57" s="38">
        <v>16</v>
      </c>
      <c r="I57" s="51">
        <v>8</v>
      </c>
      <c r="J57" s="37">
        <f t="shared" si="0"/>
        <v>32</v>
      </c>
    </row>
    <row r="58" ht="15.75" spans="1:13">
      <c r="A58" s="67"/>
      <c r="B58" s="35">
        <v>475</v>
      </c>
      <c r="C58" s="36">
        <v>100</v>
      </c>
      <c r="D58" s="36" t="s">
        <v>100</v>
      </c>
      <c r="E58" s="37">
        <v>12</v>
      </c>
      <c r="G58" s="35" t="s">
        <v>101</v>
      </c>
      <c r="H58" s="35">
        <v>14</v>
      </c>
      <c r="I58" s="51">
        <v>9</v>
      </c>
      <c r="J58" s="37">
        <f t="shared" si="0"/>
        <v>32</v>
      </c>
    </row>
    <row r="59" ht="15.75" spans="1:13">
      <c r="B59" s="48">
        <v>500</v>
      </c>
      <c r="C59" s="36">
        <v>105</v>
      </c>
      <c r="D59" s="91" t="s">
        <v>102</v>
      </c>
      <c r="E59" s="37">
        <v>12</v>
      </c>
      <c r="G59" s="35" t="s">
        <v>103</v>
      </c>
      <c r="H59" s="35">
        <v>20</v>
      </c>
      <c r="I59" s="51">
        <v>6</v>
      </c>
      <c r="J59" s="37">
        <f t="shared" si="0"/>
        <v>32</v>
      </c>
    </row>
    <row r="60" ht="15.75" spans="1:13">
      <c r="A60" s="67"/>
      <c r="B60" s="48">
        <v>600</v>
      </c>
      <c r="C60" s="91"/>
      <c r="D60" s="91">
        <v>14.5</v>
      </c>
      <c r="E60" s="37">
        <v>13</v>
      </c>
      <c r="G60" s="35" t="s">
        <v>104</v>
      </c>
      <c r="H60" s="35">
        <v>17</v>
      </c>
      <c r="I60" s="51">
        <v>4</v>
      </c>
      <c r="J60" s="37">
        <f t="shared" si="0"/>
        <v>25</v>
      </c>
    </row>
    <row r="61" ht="16.5" spans="1:13">
      <c r="B61" s="48">
        <v>750</v>
      </c>
      <c r="C61" s="91"/>
      <c r="D61" s="91">
        <v>15</v>
      </c>
      <c r="E61" s="37">
        <v>13</v>
      </c>
      <c r="G61" s="40" t="s">
        <v>105</v>
      </c>
      <c r="H61" s="40">
        <v>26</v>
      </c>
      <c r="I61" s="39">
        <v>3</v>
      </c>
      <c r="J61" s="42">
        <f t="shared" si="0"/>
        <v>32</v>
      </c>
    </row>
    <row r="62" ht="16.5" spans="1:13">
      <c r="B62" s="61">
        <v>1000</v>
      </c>
      <c r="C62" s="41"/>
      <c r="D62" s="41">
        <v>15.5</v>
      </c>
      <c r="E62" s="42">
        <v>13</v>
      </c>
      <c r="H62" s="36"/>
      <c r="I62" s="36"/>
    </row>
    <row r="63" spans="1:13">
      <c r="G63" s="36"/>
      <c r="H63" s="36"/>
      <c r="I63" s="36"/>
    </row>
    <row r="64" ht="15.75" spans="1:13">
      <c r="G64" s="36"/>
      <c r="H64" s="36"/>
      <c r="I64" s="36"/>
    </row>
    <row r="65" ht="75.75" spans="1:14">
      <c r="A65">
        <f>147*2*0.8</f>
        <v>235.2</v>
      </c>
      <c r="C65" s="98" t="s">
        <v>106</v>
      </c>
      <c r="D65" s="98" t="s">
        <v>107</v>
      </c>
      <c r="E65" s="98" t="s">
        <v>108</v>
      </c>
      <c r="G65" s="36"/>
      <c r="H65" s="99" t="s">
        <v>109</v>
      </c>
      <c r="I65" t="s">
        <v>110</v>
      </c>
      <c r="J65" s="18"/>
    </row>
    <row r="66" ht="90.75" spans="1:14">
      <c r="C66" s="98" t="s">
        <v>111</v>
      </c>
      <c r="E66" s="36"/>
      <c r="F66" s="36"/>
      <c r="G66" s="36"/>
      <c r="H66" s="36" t="s">
        <v>112</v>
      </c>
      <c r="I66" t="s">
        <v>113</v>
      </c>
      <c r="J66" s="36" t="s">
        <v>114</v>
      </c>
    </row>
    <row r="67" spans="1:14">
      <c r="E67" s="100"/>
      <c r="F67" s="36"/>
      <c r="G67" s="36"/>
      <c r="H67" s="36" t="s">
        <v>112</v>
      </c>
      <c r="I67" t="s">
        <v>115</v>
      </c>
      <c r="J67" s="36" t="s">
        <v>114</v>
      </c>
    </row>
    <row r="68" spans="1:14">
      <c r="C68" s="36"/>
      <c r="E68" s="36"/>
      <c r="F68" s="36"/>
      <c r="G68" s="36"/>
      <c r="H68" s="36" t="s">
        <v>112</v>
      </c>
      <c r="I68" t="s">
        <v>116</v>
      </c>
      <c r="J68" s="36" t="s">
        <v>117</v>
      </c>
    </row>
    <row r="69" ht="13" customHeight="1" spans="1:14">
      <c r="E69" s="36"/>
      <c r="F69" s="36"/>
      <c r="G69" s="36"/>
      <c r="H69" s="36" t="s">
        <v>118</v>
      </c>
      <c r="I69" s="99" t="s">
        <v>119</v>
      </c>
      <c r="J69" s="36" t="s">
        <v>117</v>
      </c>
    </row>
    <row r="70" spans="1:14">
      <c r="E70" s="36"/>
      <c r="F70" s="36"/>
      <c r="G70" s="36"/>
      <c r="H70" s="36" t="s">
        <v>120</v>
      </c>
      <c r="I70" s="99" t="s">
        <v>121</v>
      </c>
      <c r="J70" s="36" t="s">
        <v>122</v>
      </c>
    </row>
    <row r="71" ht="15.75" spans="1:14">
      <c r="A71" s="101"/>
      <c r="B71" s="102"/>
      <c r="C71" s="103"/>
      <c r="D71" s="103"/>
      <c r="E71" s="18"/>
      <c r="F71" s="18"/>
      <c r="G71" s="18"/>
      <c r="H71" s="18"/>
      <c r="I71" s="18"/>
      <c r="J71" s="18"/>
      <c r="K71" s="18"/>
      <c r="M71" s="36"/>
      <c r="N71" s="36"/>
    </row>
    <row r="72" spans="1:14">
      <c r="A72" s="36"/>
      <c r="F72" s="36"/>
      <c r="G72" s="36"/>
      <c r="H72" s="36"/>
      <c r="I72" s="36"/>
      <c r="J72" s="36"/>
      <c r="K72" s="36"/>
      <c r="M72" s="36"/>
      <c r="N72" s="36"/>
    </row>
    <row r="73" spans="1:14">
      <c r="A73" s="36"/>
      <c r="F73" s="36"/>
      <c r="G73" s="104" t="s">
        <v>91</v>
      </c>
      <c r="H73" s="104"/>
      <c r="I73" s="104"/>
      <c r="J73" s="36"/>
      <c r="K73" s="36"/>
      <c r="M73" s="36"/>
      <c r="N73" s="36"/>
    </row>
    <row r="74" spans="1:14">
      <c r="A74" s="36"/>
      <c r="F74" s="36"/>
      <c r="G74" s="36" t="s">
        <v>92</v>
      </c>
      <c r="H74" s="36"/>
      <c r="I74" s="36"/>
      <c r="J74" s="36"/>
      <c r="K74" s="36"/>
      <c r="L74" s="36"/>
      <c r="M74" s="36"/>
      <c r="N74" s="36"/>
    </row>
    <row r="75" spans="1:14">
      <c r="A75" s="36"/>
      <c r="F75" s="36"/>
      <c r="G75" s="36" t="s">
        <v>94</v>
      </c>
      <c r="H75" s="36"/>
      <c r="I75" s="36"/>
      <c r="J75" s="36"/>
      <c r="K75" s="36"/>
      <c r="L75" s="36"/>
      <c r="M75" s="36"/>
      <c r="N75" s="36"/>
    </row>
    <row r="76" spans="1:14">
      <c r="A76" s="36"/>
      <c r="F76" s="36"/>
      <c r="G76" s="36" t="s">
        <v>96</v>
      </c>
      <c r="H76" s="36"/>
      <c r="I76" s="36"/>
      <c r="J76" s="36"/>
      <c r="K76" s="36"/>
      <c r="M76" s="36"/>
      <c r="N76" s="36"/>
    </row>
    <row r="77" ht="15.75" spans="1:14">
      <c r="A77" s="101"/>
      <c r="F77" s="36"/>
      <c r="G77" s="105" t="s">
        <v>99</v>
      </c>
      <c r="H77" s="105"/>
      <c r="I77" s="105"/>
      <c r="J77" s="106"/>
      <c r="K77" s="106"/>
      <c r="L77" s="106"/>
      <c r="M77" s="36"/>
      <c r="N77" s="36"/>
    </row>
    <row r="78" spans="1:14">
      <c r="A78" s="36"/>
      <c r="F78" s="36"/>
      <c r="G78" s="36" t="s">
        <v>101</v>
      </c>
      <c r="H78" s="36"/>
      <c r="I78" s="36"/>
      <c r="J78" s="36"/>
      <c r="K78" s="36"/>
      <c r="M78" s="36"/>
      <c r="N78" s="36"/>
    </row>
    <row r="79" spans="1:14">
      <c r="A79" s="36"/>
      <c r="F79" s="36"/>
      <c r="G79" s="36" t="s">
        <v>104</v>
      </c>
      <c r="H79" s="36"/>
      <c r="I79" s="36"/>
      <c r="J79" s="36"/>
      <c r="K79" s="36"/>
      <c r="L79" s="36"/>
      <c r="M79" s="36"/>
      <c r="N79" s="36"/>
    </row>
    <row r="80" spans="1:14">
      <c r="A80" s="36"/>
      <c r="F80" s="36"/>
      <c r="G80" s="36" t="s">
        <v>103</v>
      </c>
      <c r="H80" s="36"/>
      <c r="I80" s="36"/>
      <c r="J80" s="36"/>
      <c r="K80" s="36"/>
      <c r="L80" s="36"/>
      <c r="M80" s="36"/>
      <c r="N80" s="36"/>
    </row>
    <row r="81" spans="1:11">
      <c r="A81" s="36"/>
      <c r="F81" s="36"/>
      <c r="G81" s="36" t="s">
        <v>105</v>
      </c>
      <c r="H81" s="36"/>
      <c r="I81" s="36"/>
      <c r="J81" s="36"/>
      <c r="K81" s="36"/>
    </row>
    <row r="82" spans="1:11">
      <c r="A82" s="36"/>
      <c r="F82" s="36"/>
      <c r="G82" s="36"/>
      <c r="H82" s="36"/>
      <c r="I82" s="36"/>
      <c r="J82" s="36"/>
      <c r="K82" s="36"/>
    </row>
    <row r="83" spans="1:11">
      <c r="A83" s="36"/>
      <c r="F83" s="36"/>
      <c r="G83" s="36"/>
      <c r="H83" s="36"/>
      <c r="I83" s="36"/>
      <c r="J83" s="36"/>
      <c r="K83" s="36"/>
    </row>
    <row r="84" spans="1:11">
      <c r="A84" s="36"/>
      <c r="F84" s="92"/>
      <c r="G84" s="92"/>
      <c r="H84" s="36">
        <v>5</v>
      </c>
      <c r="I84" s="36">
        <v>3</v>
      </c>
      <c r="J84" s="36"/>
      <c r="K84" s="36"/>
    </row>
    <row r="85" spans="1:11">
      <c r="F85" s="36"/>
      <c r="G85" s="36"/>
      <c r="H85" s="100"/>
      <c r="I85" s="36"/>
      <c r="J85" s="36"/>
      <c r="K85" s="36"/>
    </row>
    <row r="86" spans="1:11">
      <c r="F86" s="36"/>
      <c r="G86" s="36"/>
      <c r="H86" s="36"/>
      <c r="I86" s="36"/>
      <c r="J86" s="36"/>
      <c r="K86" s="36"/>
    </row>
    <row r="87" spans="1:11">
      <c r="F87" s="36"/>
      <c r="G87" s="36"/>
      <c r="H87" s="36"/>
      <c r="I87" s="36"/>
      <c r="J87" s="36"/>
      <c r="K87" s="36"/>
    </row>
    <row r="88" spans="1:11">
      <c r="F88" s="36"/>
      <c r="H88" s="36"/>
      <c r="I88" s="36"/>
      <c r="J88" s="36"/>
      <c r="K88" s="36"/>
    </row>
    <row r="89" spans="1:11">
      <c r="F89" s="36"/>
      <c r="H89" s="36"/>
      <c r="I89" s="36"/>
      <c r="J89" s="36"/>
      <c r="K89" s="36"/>
    </row>
    <row r="90" spans="1:11">
      <c r="F90" s="36"/>
      <c r="G90" s="36"/>
      <c r="H90" s="36"/>
      <c r="I90" s="36"/>
      <c r="J90" s="36"/>
      <c r="K90" s="36"/>
    </row>
    <row r="91" spans="1:11">
      <c r="F91" s="36"/>
      <c r="G91" s="36"/>
      <c r="H91" s="36"/>
      <c r="I91" s="36"/>
      <c r="J91" s="36"/>
      <c r="K91" s="36"/>
    </row>
    <row r="92" spans="1:11">
      <c r="F92" s="36"/>
      <c r="G92" s="36"/>
      <c r="H92" s="36"/>
      <c r="I92" s="36"/>
      <c r="J92" s="36"/>
      <c r="K92" s="36"/>
    </row>
    <row r="93" spans="1:11">
      <c r="F93" s="36"/>
      <c r="G93" s="36"/>
      <c r="H93" s="36"/>
      <c r="I93" s="36"/>
      <c r="J93" s="36"/>
      <c r="K93" s="36"/>
    </row>
    <row r="94" spans="1:11">
      <c r="F94" s="107"/>
      <c r="G94" s="36"/>
      <c r="H94" s="36"/>
      <c r="I94" s="36"/>
      <c r="J94" s="36"/>
      <c r="K94" s="36"/>
    </row>
    <row r="95" spans="1:11">
      <c r="B95" s="36"/>
      <c r="C95" s="36">
        <f>AVERAGE(H53:H61)</f>
        <v>18.8888888888889</v>
      </c>
      <c r="D95" s="36">
        <f>AVERAGE(I53:I61)</f>
        <v>6.11111111111111</v>
      </c>
      <c r="E95" s="36"/>
      <c r="F95" s="36"/>
      <c r="G95" s="36"/>
      <c r="H95" s="36"/>
      <c r="I95" s="36"/>
      <c r="J95" s="36"/>
      <c r="K95" s="36"/>
    </row>
    <row r="96" spans="1:11">
      <c r="E96" s="36"/>
      <c r="I96" s="36"/>
      <c r="J96" s="36"/>
      <c r="K96" s="36"/>
    </row>
    <row r="97" spans="1:11">
      <c r="A97" s="36"/>
      <c r="B97" s="36"/>
      <c r="C97" s="36"/>
      <c r="D97" s="36"/>
      <c r="E97" s="36"/>
      <c r="F97" s="107"/>
      <c r="G97" s="36"/>
      <c r="H97" s="36"/>
      <c r="I97" s="36"/>
      <c r="J97" s="36"/>
      <c r="K97" s="36"/>
    </row>
    <row r="98" spans="1:11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</row>
    <row r="99" spans="1:11">
      <c r="B99" s="36"/>
      <c r="C99" s="36"/>
      <c r="D99" s="36"/>
      <c r="E99" s="36"/>
      <c r="F99" s="36"/>
    </row>
    <row r="100" spans="1:11">
      <c r="A100" s="36"/>
      <c r="B100" s="36"/>
      <c r="C100" s="36"/>
      <c r="D100" s="36"/>
      <c r="E100" s="36"/>
      <c r="F100" s="36"/>
    </row>
    <row r="101" spans="1:11">
      <c r="C101" s="36"/>
      <c r="D101" s="36"/>
      <c r="E101" s="36"/>
      <c r="F101" s="36"/>
    </row>
    <row r="102" spans="1:11">
      <c r="C102" s="36"/>
      <c r="D102" s="36"/>
      <c r="E102" s="36"/>
      <c r="F102" s="99"/>
    </row>
    <row r="103" spans="1:11">
      <c r="C103" s="36"/>
      <c r="D103" s="36"/>
      <c r="E103" s="36"/>
      <c r="F103" s="36"/>
    </row>
    <row r="104" spans="1:11">
      <c r="C104" s="36"/>
      <c r="D104" s="36"/>
      <c r="E104" s="36"/>
      <c r="F104" s="36"/>
    </row>
    <row r="105" spans="1:11">
      <c r="C105" s="36"/>
      <c r="D105" s="36"/>
      <c r="E105" s="36"/>
      <c r="F105" s="36"/>
    </row>
    <row r="106" spans="1:11">
      <c r="C106" s="36"/>
      <c r="D106" s="36"/>
      <c r="E106" s="36"/>
      <c r="F106" s="36"/>
    </row>
    <row r="107" spans="1:11">
      <c r="C107" s="36"/>
      <c r="D107" s="36"/>
      <c r="E107" s="36"/>
      <c r="F107" s="36"/>
    </row>
    <row r="108" spans="1:11">
      <c r="C108" s="36"/>
      <c r="D108" s="36"/>
      <c r="E108" s="36"/>
      <c r="F108" s="36"/>
    </row>
    <row r="109" spans="1:11">
      <c r="C109" s="36"/>
      <c r="D109" s="36"/>
      <c r="E109" s="36"/>
      <c r="F109" s="36"/>
    </row>
    <row r="110" spans="1:11">
      <c r="C110" s="36"/>
      <c r="D110" s="36"/>
      <c r="E110" s="36"/>
      <c r="F110" s="36"/>
    </row>
    <row r="111" spans="1:11">
      <c r="C111" s="36"/>
      <c r="D111" s="36"/>
      <c r="E111" s="36"/>
      <c r="F111" s="36"/>
    </row>
  </sheetData>
  <mergeCells count="14">
    <mergeCell ref="B3:D3"/>
    <mergeCell ref="E3:G3"/>
    <mergeCell ref="M3:N3"/>
    <mergeCell ref="M4:N4"/>
    <mergeCell ref="M5:N5"/>
    <mergeCell ref="M6:N6"/>
    <mergeCell ref="M7:N7"/>
    <mergeCell ref="C8:F8"/>
    <mergeCell ref="C26:F26"/>
    <mergeCell ref="C27:F27"/>
    <mergeCell ref="C37:D37"/>
    <mergeCell ref="C38:D38"/>
    <mergeCell ref="K74:L74"/>
    <mergeCell ref="K75:L75"/>
  </mergeCells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tabSelected="1" workbookViewId="0">
      <selection activeCell="H15" sqref="H15"/>
    </sheetView>
  </sheetViews>
  <sheetFormatPr defaultColWidth="9.14285714285714" defaultRowHeight="18.75"/>
  <cols>
    <col min="1" max="1" width="9.14285714285714" style="2"/>
    <col min="2" max="2" width="12.5714285714286" style="3" customWidth="1"/>
    <col min="3" max="3" width="11.1428571428571" style="3" customWidth="1"/>
    <col min="4" max="4" width="14.8571428571429" style="3" customWidth="1"/>
    <col min="5" max="5" width="18.1428571428571" style="3" customWidth="1"/>
    <col min="6" max="6" width="11.2857142857143" style="3" customWidth="1"/>
    <col min="7" max="7" width="12" style="3" customWidth="1"/>
    <col min="8" max="8" width="12.1428571428571" style="3" customWidth="1"/>
    <col min="9" max="9" width="14.1428571428571" style="3" customWidth="1"/>
    <col min="10" max="10" width="13.7142857142857" style="3" customWidth="1"/>
    <col min="11" max="11" width="11.7142857142857" style="3" customWidth="1"/>
    <col min="12" max="12" width="17.2857142857143" style="3" customWidth="1"/>
    <col min="13" max="13" width="12.1428571428571" style="3" customWidth="1"/>
    <col min="14" max="14" width="11" style="3" customWidth="1"/>
    <col min="15" max="16384" width="9.14285714285714" style="3"/>
  </cols>
  <sheetData>
    <row r="1" ht="19.5"/>
    <row r="2" s="1" customFormat="1" ht="19.5" spans="1:15">
      <c r="A2" s="4"/>
      <c r="B2" s="5" t="s">
        <v>123</v>
      </c>
      <c r="C2" s="6" t="s">
        <v>124</v>
      </c>
      <c r="D2" s="6" t="s">
        <v>125</v>
      </c>
      <c r="E2" s="6" t="s">
        <v>126</v>
      </c>
      <c r="F2" s="6" t="s">
        <v>127</v>
      </c>
      <c r="G2" s="6" t="s">
        <v>128</v>
      </c>
      <c r="H2" s="6" t="s">
        <v>129</v>
      </c>
      <c r="I2" s="6" t="s">
        <v>130</v>
      </c>
      <c r="J2" s="6" t="s">
        <v>131</v>
      </c>
      <c r="K2" s="6" t="s">
        <v>132</v>
      </c>
      <c r="L2" s="6" t="s">
        <v>133</v>
      </c>
      <c r="M2" s="6"/>
      <c r="N2" s="6"/>
      <c r="O2" s="6"/>
    </row>
    <row r="3" spans="1:15">
      <c r="A3" s="7">
        <v>2</v>
      </c>
      <c r="B3" s="8" t="s">
        <v>134</v>
      </c>
      <c r="C3" s="9" t="s">
        <v>134</v>
      </c>
      <c r="D3" s="9" t="s">
        <v>135</v>
      </c>
      <c r="E3" s="9" t="s">
        <v>136</v>
      </c>
      <c r="F3" s="9" t="s">
        <v>134</v>
      </c>
      <c r="G3" s="9" t="s">
        <v>134</v>
      </c>
      <c r="H3" s="9" t="s">
        <v>137</v>
      </c>
      <c r="I3" s="9" t="s">
        <v>138</v>
      </c>
      <c r="J3" s="9" t="s">
        <v>134</v>
      </c>
      <c r="K3" s="9" t="s">
        <v>137</v>
      </c>
      <c r="L3" s="9" t="s">
        <v>137</v>
      </c>
      <c r="M3" s="9"/>
      <c r="N3" s="9"/>
      <c r="O3" s="9"/>
    </row>
    <row r="4" spans="1:15">
      <c r="A4" s="7">
        <v>3</v>
      </c>
      <c r="B4" s="8" t="s">
        <v>137</v>
      </c>
      <c r="C4" s="9" t="s">
        <v>134</v>
      </c>
      <c r="D4" s="9" t="s">
        <v>137</v>
      </c>
      <c r="E4" s="9" t="s">
        <v>138</v>
      </c>
      <c r="F4" s="9" t="s">
        <v>137</v>
      </c>
      <c r="G4" s="9" t="s">
        <v>137</v>
      </c>
      <c r="H4" s="9" t="s">
        <v>134</v>
      </c>
      <c r="I4" s="9" t="s">
        <v>138</v>
      </c>
      <c r="J4" s="9" t="s">
        <v>134</v>
      </c>
      <c r="K4" s="9" t="s">
        <v>137</v>
      </c>
      <c r="L4" s="9" t="s">
        <v>137</v>
      </c>
      <c r="M4" s="9"/>
      <c r="N4" s="9"/>
      <c r="O4" s="9"/>
    </row>
    <row r="5" spans="1:15">
      <c r="A5" s="7">
        <v>4</v>
      </c>
      <c r="B5" s="9" t="s">
        <v>134</v>
      </c>
      <c r="C5" s="9" t="s">
        <v>137</v>
      </c>
      <c r="D5" s="9"/>
      <c r="E5" s="9" t="s">
        <v>138</v>
      </c>
      <c r="F5" s="9" t="s">
        <v>134</v>
      </c>
      <c r="G5" s="9" t="s">
        <v>137</v>
      </c>
      <c r="H5" s="9" t="s">
        <v>137</v>
      </c>
      <c r="I5" s="9" t="s">
        <v>138</v>
      </c>
      <c r="J5" s="9" t="s">
        <v>137</v>
      </c>
      <c r="K5" s="10" t="s">
        <v>139</v>
      </c>
      <c r="L5" s="9" t="s">
        <v>134</v>
      </c>
      <c r="M5" s="9"/>
      <c r="N5" s="9"/>
      <c r="O5" s="9"/>
    </row>
    <row r="6" spans="1:15">
      <c r="A6" s="7">
        <v>5</v>
      </c>
      <c r="B6" s="9" t="s">
        <v>137</v>
      </c>
      <c r="C6" s="9" t="s">
        <v>134</v>
      </c>
      <c r="D6" s="9" t="s">
        <v>137</v>
      </c>
      <c r="E6" s="9" t="s">
        <v>138</v>
      </c>
      <c r="F6" s="9" t="s">
        <v>137</v>
      </c>
      <c r="G6" s="9" t="s">
        <v>134</v>
      </c>
      <c r="H6" s="9" t="s">
        <v>134</v>
      </c>
      <c r="I6" s="9"/>
      <c r="J6" s="9" t="s">
        <v>137</v>
      </c>
      <c r="K6" s="9"/>
      <c r="L6" s="9" t="s">
        <v>137</v>
      </c>
      <c r="M6" s="9"/>
      <c r="N6" s="9"/>
      <c r="O6" s="9"/>
    </row>
    <row r="7" spans="1:15">
      <c r="A7" s="7">
        <v>6</v>
      </c>
      <c r="B7" s="8" t="s">
        <v>140</v>
      </c>
      <c r="C7" s="8" t="s">
        <v>140</v>
      </c>
      <c r="D7" s="8" t="s">
        <v>140</v>
      </c>
      <c r="E7" s="8" t="s">
        <v>140</v>
      </c>
      <c r="F7" s="8" t="s">
        <v>140</v>
      </c>
      <c r="G7" s="8" t="s">
        <v>140</v>
      </c>
      <c r="H7" s="8" t="s">
        <v>140</v>
      </c>
      <c r="I7" s="8" t="s">
        <v>140</v>
      </c>
      <c r="J7" s="8" t="s">
        <v>140</v>
      </c>
      <c r="K7" s="8" t="s">
        <v>140</v>
      </c>
      <c r="L7" s="8" t="s">
        <v>140</v>
      </c>
      <c r="M7" s="8"/>
      <c r="N7" s="8"/>
      <c r="O7" s="8"/>
    </row>
    <row r="8" spans="1:15">
      <c r="A8" s="7">
        <v>7</v>
      </c>
      <c r="B8" s="9"/>
      <c r="C8" s="9" t="s">
        <v>137</v>
      </c>
      <c r="D8" s="9"/>
      <c r="E8" s="9" t="s">
        <v>138</v>
      </c>
      <c r="F8" s="9"/>
      <c r="G8" s="9" t="s">
        <v>137</v>
      </c>
      <c r="H8" s="9" t="s">
        <v>137</v>
      </c>
      <c r="I8" s="9" t="s">
        <v>138</v>
      </c>
      <c r="J8" s="9" t="s">
        <v>137</v>
      </c>
      <c r="K8" s="9" t="s">
        <v>137</v>
      </c>
      <c r="L8" s="9" t="s">
        <v>137</v>
      </c>
      <c r="M8" s="9"/>
      <c r="N8" s="9"/>
      <c r="O8" s="9"/>
    </row>
    <row r="9" spans="1:15">
      <c r="A9" s="7">
        <v>8</v>
      </c>
      <c r="B9" s="9"/>
      <c r="C9" s="9"/>
      <c r="D9" s="9"/>
      <c r="E9" s="9" t="s">
        <v>141</v>
      </c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>
      <c r="A10" s="7">
        <v>9</v>
      </c>
      <c r="B10" s="9" t="s">
        <v>137</v>
      </c>
      <c r="C10" s="9"/>
      <c r="D10" s="9" t="s">
        <v>137</v>
      </c>
      <c r="E10" s="9" t="s">
        <v>142</v>
      </c>
      <c r="F10" s="9"/>
      <c r="G10" s="9"/>
      <c r="H10" s="9"/>
      <c r="I10" s="9" t="s">
        <v>138</v>
      </c>
      <c r="J10" s="9"/>
      <c r="K10" s="9" t="s">
        <v>137</v>
      </c>
      <c r="L10" s="9"/>
      <c r="M10" s="9"/>
      <c r="N10" s="9"/>
      <c r="O10" s="9"/>
    </row>
    <row r="11" spans="1:15">
      <c r="A11" s="7">
        <v>10</v>
      </c>
      <c r="B11" s="8" t="s">
        <v>143</v>
      </c>
      <c r="C11" s="8" t="s">
        <v>143</v>
      </c>
      <c r="D11" s="8" t="s">
        <v>143</v>
      </c>
      <c r="E11" s="8" t="s">
        <v>143</v>
      </c>
      <c r="F11" s="8" t="s">
        <v>143</v>
      </c>
      <c r="G11" s="8" t="s">
        <v>143</v>
      </c>
      <c r="H11" s="8" t="s">
        <v>143</v>
      </c>
      <c r="I11" s="8" t="s">
        <v>143</v>
      </c>
      <c r="J11" s="8"/>
      <c r="K11" s="8" t="s">
        <v>143</v>
      </c>
      <c r="L11" s="8" t="s">
        <v>143</v>
      </c>
      <c r="M11" s="8"/>
      <c r="N11" s="8"/>
      <c r="O11" s="8"/>
    </row>
  </sheetData>
  <mergeCells count="3">
    <mergeCell ref="G8:G9"/>
    <mergeCell ref="J8:J9"/>
    <mergeCell ref="L8:L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Standard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Ghavao</dc:creator>
  <cp:lastModifiedBy>Dave</cp:lastModifiedBy>
  <dcterms:created xsi:type="dcterms:W3CDTF">2018-09-02T12:33:00Z</dcterms:created>
  <dcterms:modified xsi:type="dcterms:W3CDTF">2026-05-05T16:07:15Z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1033-12.1.0.25242</vt:lpwstr>
  </property>
  <property fmtid="{D5CDD505-2E9C-101B-9397-08002B2CF9AE}" pid="3" name="ICV">
    <vt:lpwstr>6050BD160FB649F59AF7ACC2AD2F0949</vt:lpwstr>
  </property>
  <property fmtid="{D5CDD505-2E9C-101B-9397-08002B2CF9AE}" pid="4" name="MSIP_Label_45943423-0614-406f-8d5e-6a42b298e941_Enabled">
    <vt:lpwstr>true</vt:lpwstr>
  </property>
  <property fmtid="{D5CDD505-2E9C-101B-9397-08002B2CF9AE}" pid="5" name="MSIP_Label_45943423-0614-406f-8d5e-6a42b298e941_SetDate">
    <vt:lpwstr>2023-06-26T15:01:54Z</vt:lpwstr>
  </property>
  <property fmtid="{D5CDD505-2E9C-101B-9397-08002B2CF9AE}" pid="6" name="MSIP_Label_45943423-0614-406f-8d5e-6a42b298e941_Method">
    <vt:lpwstr>Standard</vt:lpwstr>
  </property>
  <property fmtid="{D5CDD505-2E9C-101B-9397-08002B2CF9AE}" pid="7" name="MSIP_Label_45943423-0614-406f-8d5e-6a42b298e941_Name">
    <vt:lpwstr>Internal</vt:lpwstr>
  </property>
  <property fmtid="{D5CDD505-2E9C-101B-9397-08002B2CF9AE}" pid="8" name="MSIP_Label_45943423-0614-406f-8d5e-6a42b298e941_SiteId">
    <vt:lpwstr>02f22272-3538-4a5f-ae4e-64cd13d9890e</vt:lpwstr>
  </property>
  <property fmtid="{D5CDD505-2E9C-101B-9397-08002B2CF9AE}" pid="9" name="MSIP_Label_45943423-0614-406f-8d5e-6a42b298e941_ActionId">
    <vt:lpwstr>b5b5c8fc-c455-4f84-b8cf-d17785fc3009</vt:lpwstr>
  </property>
  <property fmtid="{D5CDD505-2E9C-101B-9397-08002B2CF9AE}" pid="10" name="MSIP_Label_45943423-0614-406f-8d5e-6a42b298e941_ContentBits">
    <vt:lpwstr>0</vt:lpwstr>
  </property>
  <property fmtid="{D5CDD505-2E9C-101B-9397-08002B2CF9AE}" pid="11" name="CalculationRule">
    <vt:i4>0</vt:i4>
  </property>
</Properties>
</file>