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Standard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<sst xmlns="http://schemas.openxmlformats.org/spreadsheetml/2006/main" count="146" uniqueCount="123">
  <si>
    <t>1-Handed (base) (5.5 base + 3 stat = 8.5) (8.5 - 4 AC)*2 hands = 9</t>
  </si>
  <si>
    <t>2-Handed (base) (10 base + 3 stat = 13) (13 - 4 AC) = 9</t>
  </si>
  <si>
    <t>Defense vs Physical</t>
  </si>
  <si>
    <t>Damage Type</t>
  </si>
  <si>
    <t>1d12 - 1</t>
  </si>
  <si>
    <t>d6 + 2</t>
  </si>
  <si>
    <t>d8 + 1</t>
  </si>
  <si>
    <t>Defense vs Spells</t>
  </si>
  <si>
    <t>Choose Between</t>
  </si>
  <si>
    <t>d10</t>
  </si>
  <si>
    <t>3d4 - 2</t>
  </si>
  <si>
    <t>d4 + 3</t>
  </si>
  <si>
    <t>Cone / Line / Circle / Around</t>
  </si>
  <si>
    <t>Mobility</t>
  </si>
  <si>
    <t>2d6 - 2</t>
  </si>
  <si>
    <t>2d4</t>
  </si>
  <si>
    <t>Buff</t>
  </si>
  <si>
    <t>Pro and Con</t>
  </si>
  <si>
    <t>Stun / Slow / Snare / etc</t>
  </si>
  <si>
    <t>Zoning</t>
  </si>
  <si>
    <t>Weapon Damages based on stats</t>
  </si>
  <si>
    <t>Trap</t>
  </si>
  <si>
    <t>Player Level</t>
  </si>
  <si>
    <t>Base</t>
  </si>
  <si>
    <t>Plus Stat</t>
  </si>
  <si>
    <t>Minus AC</t>
  </si>
  <si>
    <t>Total DPR (both hands)</t>
  </si>
  <si>
    <t>Total DPR</t>
  </si>
  <si>
    <t>1-3</t>
  </si>
  <si>
    <t>+3</t>
  </si>
  <si>
    <t>4-7</t>
  </si>
  <si>
    <t>+4</t>
  </si>
  <si>
    <t>8-10</t>
  </si>
  <si>
    <t>+5</t>
  </si>
  <si>
    <t>Actions</t>
  </si>
  <si>
    <t>Charges</t>
  </si>
  <si>
    <t>Damage (3.5 Armor)</t>
  </si>
  <si>
    <t>Heal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</si>
  <si>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</si>
  <si>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</si>
  <si>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</si>
  <si>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</si>
  <si>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</si>
  <si>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</si>
  <si>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</si>
  <si>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</si>
  <si>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</si>
  <si>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t>Pet Attack</t>
  </si>
  <si>
    <t>Pet Attack (Unique)</t>
  </si>
  <si>
    <t>Crowd Control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</si>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</sst>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134"/>
      <scheme val="minor"/>
    </font>
    <font>
      <b/>
      <sz val="12"/>
      <color theme="9" tint="-0.249977111117893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19" applyNumberFormat="0" applyAlignment="0" applyProtection="0">
      <alignment vertical="center"/>
    </xf>
    <xf numFmtId="0" fontId="25" fillId="5" borderId="20" applyNumberFormat="0" applyAlignment="0" applyProtection="0">
      <alignment vertical="center"/>
    </xf>
    <xf numFmtId="0" fontId="26" fillId="5" borderId="19" applyNumberFormat="0" applyAlignment="0" applyProtection="0">
      <alignment vertical="center"/>
    </xf>
    <xf numFmtId="0" fontId="27" fillId="6" borderId="21" applyNumberFormat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0" borderId="23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</cellStyleXfs>
  <cellXfs count="9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5" fillId="0" borderId="1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" fontId="0" fillId="0" borderId="13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8" fillId="0" borderId="0" xfId="0" applyFont="1">
      <alignment vertical="center"/>
    </xf>
    <xf numFmtId="0" fontId="10" fillId="0" borderId="10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0" borderId="8" xfId="0" applyFont="1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NumberFormat="1" applyFont="1">
      <alignment vertical="center"/>
    </xf>
    <xf numFmtId="0" fontId="11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0" fillId="0" borderId="13" xfId="0" applyNumberFormat="1" applyBorder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14" xfId="0" applyBorder="1" applyAlignment="1" quotePrefix="1">
      <alignment horizontal="center" vertical="center"/>
    </xf>
    <xf numFmtId="0" fontId="0" fillId="0" borderId="10" xfId="0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1"/>
  <sheetViews>
    <sheetView tabSelected="1" topLeftCell="A6" workbookViewId="0">
      <selection activeCell="F17" sqref="F17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7904761904762" customWidth="1"/>
    <col min="6" max="6" width="24.5809523809524" customWidth="1"/>
    <col min="7" max="7" width="27.9428571428571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2:14">
      <c r="B3" s="1" t="s">
        <v>0</v>
      </c>
      <c r="C3" s="2"/>
      <c r="D3" s="3"/>
      <c r="E3" s="4" t="s">
        <v>1</v>
      </c>
      <c r="F3" s="5"/>
      <c r="G3" s="6"/>
      <c r="L3" s="53" t="s">
        <v>2</v>
      </c>
      <c r="M3" s="41" t="s">
        <v>3</v>
      </c>
      <c r="N3" s="53"/>
    </row>
    <row r="4" ht="15.75" spans="2:14">
      <c r="B4" s="7" t="s">
        <v>4</v>
      </c>
      <c r="C4" s="8" t="s">
        <v>5</v>
      </c>
      <c r="D4" s="9" t="s">
        <v>6</v>
      </c>
      <c r="E4" s="8"/>
      <c r="F4" s="8"/>
      <c r="G4" s="8"/>
      <c r="L4" s="53" t="s">
        <v>7</v>
      </c>
      <c r="M4" s="41" t="s">
        <v>8</v>
      </c>
      <c r="N4" s="53"/>
    </row>
    <row r="5" ht="15.75" spans="2:14">
      <c r="B5" s="7" t="s">
        <v>9</v>
      </c>
      <c r="C5" s="8" t="s">
        <v>10</v>
      </c>
      <c r="D5" s="9" t="s">
        <v>11</v>
      </c>
      <c r="E5" s="8"/>
      <c r="F5" s="8"/>
      <c r="G5" s="8"/>
      <c r="L5" s="53" t="s">
        <v>12</v>
      </c>
      <c r="M5" s="41" t="s">
        <v>13</v>
      </c>
      <c r="N5" s="41"/>
    </row>
    <row r="6" ht="16.5" spans="2:14">
      <c r="B6" s="10" t="s">
        <v>14</v>
      </c>
      <c r="C6" s="11" t="s">
        <v>15</v>
      </c>
      <c r="D6" s="12"/>
      <c r="E6" s="8"/>
      <c r="F6" s="8"/>
      <c r="G6" s="8"/>
      <c r="L6" s="53" t="s">
        <v>16</v>
      </c>
      <c r="M6" s="41" t="s">
        <v>17</v>
      </c>
      <c r="N6" s="41"/>
    </row>
    <row r="7" ht="16.5" spans="5:14">
      <c r="E7" s="8"/>
      <c r="F7" s="8"/>
      <c r="G7" s="8"/>
      <c r="L7" s="81" t="s">
        <v>18</v>
      </c>
      <c r="M7" s="41" t="s">
        <v>19</v>
      </c>
      <c r="N7" s="41"/>
    </row>
    <row r="8" ht="16.5" spans="3:14">
      <c r="C8" s="13" t="s">
        <v>20</v>
      </c>
      <c r="D8" s="14"/>
      <c r="E8" s="14"/>
      <c r="F8" s="15"/>
      <c r="G8" s="16"/>
      <c r="L8" s="81" t="s">
        <v>21</v>
      </c>
      <c r="M8" s="81"/>
      <c r="N8" s="53"/>
    </row>
    <row r="9" spans="1:9">
      <c r="A9" s="17" t="s">
        <v>22</v>
      </c>
      <c r="B9" s="18" t="s">
        <v>23</v>
      </c>
      <c r="C9" s="19" t="s">
        <v>24</v>
      </c>
      <c r="D9" s="19" t="s">
        <v>25</v>
      </c>
      <c r="E9" s="20" t="s">
        <v>26</v>
      </c>
      <c r="F9" s="18" t="s">
        <v>23</v>
      </c>
      <c r="G9" s="19" t="s">
        <v>24</v>
      </c>
      <c r="H9" s="19" t="s">
        <v>25</v>
      </c>
      <c r="I9" s="20" t="s">
        <v>27</v>
      </c>
    </row>
    <row r="10" spans="1:9">
      <c r="A10" s="98" t="s">
        <v>28</v>
      </c>
      <c r="B10" s="22">
        <v>5.5</v>
      </c>
      <c r="C10" s="99" t="s">
        <v>29</v>
      </c>
      <c r="D10" s="23">
        <v>-4</v>
      </c>
      <c r="E10" s="24">
        <v>9</v>
      </c>
      <c r="F10" s="25">
        <v>10.5</v>
      </c>
      <c r="G10" s="99" t="s">
        <v>29</v>
      </c>
      <c r="H10" s="23">
        <v>-4</v>
      </c>
      <c r="I10" s="24">
        <v>9.5</v>
      </c>
    </row>
    <row r="11" spans="1:9">
      <c r="A11" s="98" t="s">
        <v>30</v>
      </c>
      <c r="B11" s="22">
        <v>5.5</v>
      </c>
      <c r="C11" s="99" t="s">
        <v>31</v>
      </c>
      <c r="D11" s="23">
        <v>-4</v>
      </c>
      <c r="E11" s="24">
        <v>11</v>
      </c>
      <c r="F11" s="25">
        <v>10.5</v>
      </c>
      <c r="G11" s="99" t="s">
        <v>31</v>
      </c>
      <c r="H11" s="23">
        <v>-4</v>
      </c>
      <c r="I11" s="24">
        <v>10.5</v>
      </c>
    </row>
    <row r="12" ht="15.75" spans="1:9">
      <c r="A12" s="100" t="s">
        <v>32</v>
      </c>
      <c r="B12" s="27">
        <v>5.5</v>
      </c>
      <c r="C12" s="101" t="s">
        <v>33</v>
      </c>
      <c r="D12" s="28">
        <v>-5</v>
      </c>
      <c r="E12" s="29">
        <v>11</v>
      </c>
      <c r="F12" s="30">
        <v>10.5</v>
      </c>
      <c r="G12" s="101" t="s">
        <v>33</v>
      </c>
      <c r="H12" s="28">
        <v>-5</v>
      </c>
      <c r="I12" s="29">
        <v>11.5</v>
      </c>
    </row>
    <row r="14" spans="2:4">
      <c r="B14">
        <v>16.5</v>
      </c>
      <c r="C14">
        <f>5.5+4.5+3.5</f>
        <v>13.5</v>
      </c>
      <c r="D14">
        <f>13.5+9</f>
        <v>22.5</v>
      </c>
    </row>
    <row r="15" ht="15.75" spans="2:6">
      <c r="B15" s="23"/>
      <c r="D15" s="23"/>
      <c r="E15" s="23"/>
      <c r="F15" s="23"/>
    </row>
    <row r="16" ht="15.75" spans="1:8">
      <c r="A16" s="31" t="s">
        <v>34</v>
      </c>
      <c r="B16" s="32" t="s">
        <v>35</v>
      </c>
      <c r="C16" s="33" t="s">
        <v>36</v>
      </c>
      <c r="D16" s="34" t="s">
        <v>37</v>
      </c>
      <c r="E16" s="33" t="s">
        <v>38</v>
      </c>
      <c r="H16" s="23"/>
    </row>
    <row r="17" ht="15.75" spans="1:8">
      <c r="A17" s="35">
        <v>0</v>
      </c>
      <c r="B17" s="36">
        <v>0</v>
      </c>
      <c r="C17" s="37">
        <v>0</v>
      </c>
      <c r="D17" s="23">
        <v>0</v>
      </c>
      <c r="E17" s="38">
        <v>0</v>
      </c>
      <c r="H17" s="23"/>
    </row>
    <row r="18" ht="15.75" spans="1:11">
      <c r="A18" s="35">
        <v>0.5</v>
      </c>
      <c r="B18" s="36">
        <v>0</v>
      </c>
      <c r="C18" s="39" t="s">
        <v>39</v>
      </c>
      <c r="D18" s="23">
        <v>0</v>
      </c>
      <c r="E18" s="38">
        <v>-1</v>
      </c>
      <c r="H18" s="40"/>
      <c r="K18" s="53"/>
    </row>
    <row r="19" ht="15.75" spans="1:11">
      <c r="A19" s="35">
        <v>1</v>
      </c>
      <c r="B19" s="36">
        <v>0</v>
      </c>
      <c r="C19" s="39" t="s">
        <v>40</v>
      </c>
      <c r="D19" s="23">
        <v>0</v>
      </c>
      <c r="E19" s="38">
        <v>-2</v>
      </c>
      <c r="H19" s="41"/>
      <c r="K19" s="53"/>
    </row>
    <row r="20" ht="15.75" spans="1:11">
      <c r="A20" s="42">
        <v>0</v>
      </c>
      <c r="B20" s="43">
        <v>1</v>
      </c>
      <c r="C20" s="44" t="s">
        <v>41</v>
      </c>
      <c r="D20" s="45" t="s">
        <v>42</v>
      </c>
      <c r="E20" s="46">
        <v>-1</v>
      </c>
      <c r="H20" s="40"/>
      <c r="J20" s="56"/>
      <c r="K20" s="53"/>
    </row>
    <row r="21" ht="15.75" spans="1:11">
      <c r="A21" s="35">
        <v>0.5</v>
      </c>
      <c r="B21" s="36">
        <v>1</v>
      </c>
      <c r="C21" s="39" t="s">
        <v>43</v>
      </c>
      <c r="D21" s="47" t="s">
        <v>44</v>
      </c>
      <c r="E21" s="38">
        <v>-2</v>
      </c>
      <c r="H21" s="41"/>
      <c r="K21" s="53"/>
    </row>
    <row r="22" ht="16.5" spans="1:11">
      <c r="A22" s="48">
        <v>1</v>
      </c>
      <c r="B22" s="49">
        <v>1</v>
      </c>
      <c r="C22" s="49" t="s">
        <v>45</v>
      </c>
      <c r="D22" s="28" t="s">
        <v>46</v>
      </c>
      <c r="E22" s="26">
        <v>-3</v>
      </c>
      <c r="H22" s="41"/>
      <c r="K22" s="53"/>
    </row>
    <row r="23" ht="15.75" spans="1:11">
      <c r="A23" s="50">
        <v>1</v>
      </c>
      <c r="B23" s="51" t="s">
        <v>47</v>
      </c>
      <c r="C23" s="52">
        <v>6</v>
      </c>
      <c r="D23" s="51">
        <v>2</v>
      </c>
      <c r="E23" s="33">
        <v>3</v>
      </c>
      <c r="G23" s="23"/>
      <c r="H23" s="53"/>
      <c r="I23" s="53"/>
      <c r="J23" s="53"/>
      <c r="K23" s="53"/>
    </row>
    <row r="24" ht="16.5" spans="1:11">
      <c r="A24" s="48">
        <v>1</v>
      </c>
      <c r="B24" s="49" t="s">
        <v>48</v>
      </c>
      <c r="C24" s="54">
        <v>8</v>
      </c>
      <c r="D24" s="49">
        <v>4</v>
      </c>
      <c r="E24" s="26">
        <v>5.5</v>
      </c>
      <c r="G24" s="23"/>
      <c r="H24" s="53"/>
      <c r="I24" s="53"/>
      <c r="J24" s="53"/>
      <c r="K24" s="53"/>
    </row>
    <row r="25" ht="16.5" spans="1:11">
      <c r="A25" s="55"/>
      <c r="B25" s="41"/>
      <c r="C25" s="41"/>
      <c r="D25" s="41"/>
      <c r="E25" s="23"/>
      <c r="F25" s="23"/>
      <c r="G25" s="56"/>
      <c r="H25" s="23"/>
      <c r="I25" s="53"/>
      <c r="J25" s="53"/>
      <c r="K25" s="82"/>
    </row>
    <row r="26" ht="15.75" spans="1:11">
      <c r="A26" s="57"/>
      <c r="B26" s="34"/>
      <c r="C26" s="58" t="s">
        <v>49</v>
      </c>
      <c r="D26" s="59"/>
      <c r="E26" s="59"/>
      <c r="F26" s="60"/>
      <c r="K26" s="23"/>
    </row>
    <row r="27" ht="16.5" spans="1:12">
      <c r="A27" s="61" t="s">
        <v>34</v>
      </c>
      <c r="B27" s="62" t="s">
        <v>35</v>
      </c>
      <c r="C27" s="63" t="s">
        <v>50</v>
      </c>
      <c r="D27" s="64"/>
      <c r="E27" s="64"/>
      <c r="F27" s="65"/>
      <c r="K27" s="83"/>
      <c r="L27" s="83"/>
    </row>
    <row r="28" spans="1:11">
      <c r="A28" s="22">
        <v>0</v>
      </c>
      <c r="B28" s="23">
        <v>0</v>
      </c>
      <c r="C28" s="22" t="s">
        <v>51</v>
      </c>
      <c r="D28" s="23" t="s">
        <v>52</v>
      </c>
      <c r="E28" s="34"/>
      <c r="F28" s="66"/>
      <c r="K28" s="23"/>
    </row>
    <row r="29" spans="1:11">
      <c r="A29" s="22">
        <v>0.5</v>
      </c>
      <c r="B29" s="23">
        <v>0</v>
      </c>
      <c r="C29" s="67" t="s">
        <v>53</v>
      </c>
      <c r="D29" s="68" t="s">
        <v>54</v>
      </c>
      <c r="E29" s="23"/>
      <c r="F29" s="24"/>
      <c r="K29" s="23"/>
    </row>
    <row r="30" spans="1:11">
      <c r="A30" s="22">
        <v>1</v>
      </c>
      <c r="B30" s="23">
        <v>0</v>
      </c>
      <c r="C30" s="69"/>
      <c r="D30" s="70"/>
      <c r="E30" s="70"/>
      <c r="F30" s="71"/>
      <c r="K30" s="23"/>
    </row>
    <row r="31" spans="1:6">
      <c r="A31" s="22">
        <v>0</v>
      </c>
      <c r="B31" s="23">
        <v>1</v>
      </c>
      <c r="C31" s="22" t="s">
        <v>55</v>
      </c>
      <c r="D31" s="23" t="s">
        <v>56</v>
      </c>
      <c r="E31" s="23" t="s">
        <v>57</v>
      </c>
      <c r="F31" s="24" t="s">
        <v>58</v>
      </c>
    </row>
    <row r="32" spans="1:6">
      <c r="A32" s="22">
        <v>0.5</v>
      </c>
      <c r="B32" s="23">
        <v>1</v>
      </c>
      <c r="C32" s="22" t="s">
        <v>59</v>
      </c>
      <c r="D32" s="23" t="s">
        <v>60</v>
      </c>
      <c r="E32" s="23"/>
      <c r="F32" s="24"/>
    </row>
    <row r="33" ht="15.75" spans="1:6">
      <c r="A33" s="27">
        <v>1</v>
      </c>
      <c r="B33" s="28">
        <v>1</v>
      </c>
      <c r="C33" s="27"/>
      <c r="D33" s="28"/>
      <c r="E33" s="28"/>
      <c r="F33" s="29"/>
    </row>
    <row r="34" ht="15.75" spans="1:11">
      <c r="A34" s="50">
        <v>1</v>
      </c>
      <c r="B34" s="72" t="s">
        <v>47</v>
      </c>
      <c r="C34" s="57" t="s">
        <v>61</v>
      </c>
      <c r="D34" s="73"/>
      <c r="E34" s="73"/>
      <c r="F34" s="72"/>
      <c r="K34" s="41"/>
    </row>
    <row r="35" ht="16.5" spans="1:11">
      <c r="A35" s="48">
        <v>1</v>
      </c>
      <c r="B35" s="74" t="s">
        <v>48</v>
      </c>
      <c r="C35" s="48" t="s">
        <v>62</v>
      </c>
      <c r="D35" s="75" t="s">
        <v>63</v>
      </c>
      <c r="E35" s="75"/>
      <c r="F35" s="74"/>
      <c r="K35" s="41"/>
    </row>
    <row r="36" ht="15.75" spans="1:11">
      <c r="A36" s="41"/>
      <c r="B36" s="41"/>
      <c r="C36" s="41"/>
      <c r="D36" s="41"/>
      <c r="E36" s="41"/>
      <c r="F36" s="41"/>
      <c r="G36" s="41"/>
      <c r="H36" s="41"/>
      <c r="I36" s="23"/>
      <c r="J36" s="23"/>
      <c r="K36" s="41"/>
    </row>
    <row r="37" ht="16.5" spans="1:11">
      <c r="A37" s="41"/>
      <c r="B37" s="41"/>
      <c r="C37" s="41"/>
      <c r="D37" s="41"/>
      <c r="E37" s="41"/>
      <c r="F37" s="41"/>
      <c r="G37" s="41"/>
      <c r="H37" s="41"/>
      <c r="I37" s="23"/>
      <c r="J37" s="23"/>
      <c r="K37" s="41"/>
    </row>
    <row r="38" ht="16.5" spans="1:11">
      <c r="A38" s="41"/>
      <c r="C38" s="50" t="s">
        <v>64</v>
      </c>
      <c r="D38" s="72"/>
      <c r="F38" s="41"/>
      <c r="G38" s="41"/>
      <c r="H38" s="55"/>
      <c r="I38" s="41"/>
      <c r="J38" s="23"/>
      <c r="K38" s="41"/>
    </row>
    <row r="39" ht="16.5" spans="1:11">
      <c r="A39" s="55"/>
      <c r="B39" s="57" t="s">
        <v>65</v>
      </c>
      <c r="C39" s="34" t="s">
        <v>66</v>
      </c>
      <c r="D39" s="34" t="s">
        <v>67</v>
      </c>
      <c r="E39" s="72" t="s">
        <v>68</v>
      </c>
      <c r="G39" s="23"/>
      <c r="H39" s="23" t="s">
        <v>69</v>
      </c>
      <c r="I39" s="23"/>
      <c r="J39" s="23"/>
      <c r="K39" s="84"/>
    </row>
    <row r="40" ht="15.75" spans="1:11">
      <c r="A40" s="55"/>
      <c r="B40" s="22">
        <v>25</v>
      </c>
      <c r="C40" s="23">
        <v>7</v>
      </c>
      <c r="D40" s="23">
        <v>1.5</v>
      </c>
      <c r="E40" s="76">
        <v>10</v>
      </c>
      <c r="G40" s="57" t="s">
        <v>70</v>
      </c>
      <c r="H40" s="33" t="s">
        <v>71</v>
      </c>
      <c r="I40" s="33" t="s">
        <v>72</v>
      </c>
      <c r="K40" s="41"/>
    </row>
    <row r="41" ht="15.75" spans="1:11">
      <c r="A41" s="55"/>
      <c r="B41" s="22">
        <v>50</v>
      </c>
      <c r="C41" s="23">
        <v>14</v>
      </c>
      <c r="D41" s="23">
        <v>2.5</v>
      </c>
      <c r="E41" s="76">
        <v>10</v>
      </c>
      <c r="G41" s="22">
        <v>1</v>
      </c>
      <c r="H41" s="38">
        <v>21.5</v>
      </c>
      <c r="I41" s="38">
        <v>7</v>
      </c>
      <c r="K41" s="41"/>
    </row>
    <row r="42" ht="15.75" spans="1:11">
      <c r="A42" s="55"/>
      <c r="B42" s="22">
        <v>75</v>
      </c>
      <c r="C42" s="23">
        <v>20</v>
      </c>
      <c r="D42" s="23">
        <v>3.5</v>
      </c>
      <c r="E42" s="76">
        <v>10</v>
      </c>
      <c r="G42" s="22">
        <v>2</v>
      </c>
      <c r="H42" s="38">
        <v>25.5</v>
      </c>
      <c r="I42" s="38">
        <v>9</v>
      </c>
      <c r="K42" s="41"/>
    </row>
    <row r="43" ht="15.75" spans="1:11">
      <c r="A43" s="55" t="s">
        <v>73</v>
      </c>
      <c r="B43" s="35">
        <v>100</v>
      </c>
      <c r="C43" s="23">
        <v>25</v>
      </c>
      <c r="D43" s="41">
        <v>5</v>
      </c>
      <c r="E43" s="76">
        <v>10</v>
      </c>
      <c r="G43" s="22">
        <v>3</v>
      </c>
      <c r="H43" s="38">
        <v>29.5</v>
      </c>
      <c r="I43" s="38">
        <v>11</v>
      </c>
      <c r="K43" s="41"/>
    </row>
    <row r="44" ht="15.75" spans="1:11">
      <c r="A44" s="55" t="s">
        <v>74</v>
      </c>
      <c r="B44" s="22">
        <v>125</v>
      </c>
      <c r="C44" s="23">
        <v>30</v>
      </c>
      <c r="D44" s="41">
        <v>6.5</v>
      </c>
      <c r="E44" s="76">
        <v>10</v>
      </c>
      <c r="G44" s="22">
        <v>4</v>
      </c>
      <c r="H44" s="38">
        <v>33.5</v>
      </c>
      <c r="I44" s="38">
        <v>13</v>
      </c>
      <c r="K44" s="41"/>
    </row>
    <row r="45" ht="15.75" spans="1:11">
      <c r="A45" s="55"/>
      <c r="B45" s="22">
        <v>150</v>
      </c>
      <c r="C45" s="23">
        <v>35</v>
      </c>
      <c r="D45" s="41">
        <v>7.5</v>
      </c>
      <c r="E45" s="76">
        <v>10</v>
      </c>
      <c r="G45" s="22">
        <v>5</v>
      </c>
      <c r="H45" s="38">
        <v>37.5</v>
      </c>
      <c r="I45" s="38">
        <v>15</v>
      </c>
      <c r="K45" s="41"/>
    </row>
    <row r="46" ht="15.75" spans="1:11">
      <c r="A46" s="55" t="s">
        <v>75</v>
      </c>
      <c r="B46" s="22">
        <v>175</v>
      </c>
      <c r="C46" s="23">
        <v>40</v>
      </c>
      <c r="D46" s="41">
        <v>8.5</v>
      </c>
      <c r="E46" s="76">
        <v>10</v>
      </c>
      <c r="F46" t="s">
        <v>76</v>
      </c>
      <c r="G46" s="22">
        <v>6</v>
      </c>
      <c r="H46" s="38">
        <v>41.5</v>
      </c>
      <c r="I46" s="38">
        <v>17</v>
      </c>
      <c r="K46" s="41"/>
    </row>
    <row r="47" ht="15.75" spans="1:11">
      <c r="A47" s="55" t="s">
        <v>77</v>
      </c>
      <c r="B47" s="22">
        <v>200</v>
      </c>
      <c r="C47" s="23">
        <v>45</v>
      </c>
      <c r="D47" s="41">
        <v>9.5</v>
      </c>
      <c r="E47" s="76">
        <v>11</v>
      </c>
      <c r="F47" t="s">
        <v>78</v>
      </c>
      <c r="G47" s="22">
        <v>7</v>
      </c>
      <c r="H47" s="38">
        <v>45.5</v>
      </c>
      <c r="I47" s="38">
        <v>19</v>
      </c>
      <c r="K47" s="41"/>
    </row>
    <row r="48" ht="15.75" spans="1:11">
      <c r="A48" s="55"/>
      <c r="B48" s="35">
        <v>225</v>
      </c>
      <c r="C48" s="23">
        <v>50</v>
      </c>
      <c r="D48" s="41">
        <v>10.5</v>
      </c>
      <c r="E48" s="76">
        <v>11</v>
      </c>
      <c r="F48" t="s">
        <v>79</v>
      </c>
      <c r="G48" s="22">
        <v>8</v>
      </c>
      <c r="H48" s="38">
        <v>49.5</v>
      </c>
      <c r="I48" s="38">
        <v>21</v>
      </c>
      <c r="K48" s="41"/>
    </row>
    <row r="49" ht="15.75" spans="1:11">
      <c r="A49" s="55" t="s">
        <v>80</v>
      </c>
      <c r="B49" s="22">
        <v>250</v>
      </c>
      <c r="C49" s="23">
        <v>55</v>
      </c>
      <c r="D49" s="41">
        <v>11.5</v>
      </c>
      <c r="E49" s="76">
        <v>11</v>
      </c>
      <c r="F49" t="s">
        <v>81</v>
      </c>
      <c r="G49" s="22">
        <v>9</v>
      </c>
      <c r="H49" s="38">
        <v>53.5</v>
      </c>
      <c r="I49" s="38">
        <v>23</v>
      </c>
      <c r="K49" s="41"/>
    </row>
    <row r="50" ht="16.5" spans="1:11">
      <c r="A50" s="55" t="s">
        <v>82</v>
      </c>
      <c r="B50" s="22">
        <v>275</v>
      </c>
      <c r="C50" s="23">
        <v>60</v>
      </c>
      <c r="D50" s="41">
        <v>12.5</v>
      </c>
      <c r="E50" s="76">
        <v>11</v>
      </c>
      <c r="F50" t="s">
        <v>83</v>
      </c>
      <c r="G50" s="27">
        <v>10</v>
      </c>
      <c r="H50" s="26">
        <v>57.5</v>
      </c>
      <c r="I50" s="26">
        <v>25</v>
      </c>
      <c r="K50" s="41"/>
    </row>
    <row r="51" ht="16.5" spans="1:13">
      <c r="A51" s="55"/>
      <c r="B51" s="77">
        <v>300</v>
      </c>
      <c r="C51" s="23">
        <v>65</v>
      </c>
      <c r="D51" s="41">
        <v>13.5</v>
      </c>
      <c r="E51" s="24">
        <v>12</v>
      </c>
      <c r="F51" t="s">
        <v>84</v>
      </c>
      <c r="G51" s="23"/>
      <c r="H51" s="23"/>
      <c r="I51" s="85"/>
      <c r="J51" s="85"/>
      <c r="K51" s="53"/>
      <c r="M51" s="41"/>
    </row>
    <row r="52" ht="16.5" spans="1:13">
      <c r="A52" s="78" t="s">
        <v>85</v>
      </c>
      <c r="B52" s="77">
        <v>325</v>
      </c>
      <c r="C52" s="23">
        <v>70</v>
      </c>
      <c r="D52" s="41">
        <v>14.5</v>
      </c>
      <c r="E52" s="24">
        <v>12</v>
      </c>
      <c r="G52" s="79" t="s">
        <v>86</v>
      </c>
      <c r="H52" s="79" t="s">
        <v>87</v>
      </c>
      <c r="I52" s="86" t="s">
        <v>88</v>
      </c>
      <c r="J52" s="87" t="s">
        <v>89</v>
      </c>
      <c r="M52" s="41"/>
    </row>
    <row r="53" ht="15.75" spans="1:13">
      <c r="A53" s="78" t="s">
        <v>90</v>
      </c>
      <c r="B53" s="22">
        <v>350</v>
      </c>
      <c r="C53" s="23">
        <v>75</v>
      </c>
      <c r="D53" s="41">
        <v>15.5</v>
      </c>
      <c r="E53" s="24">
        <v>12</v>
      </c>
      <c r="G53" s="80" t="s">
        <v>91</v>
      </c>
      <c r="H53" s="80">
        <v>16</v>
      </c>
      <c r="I53" s="33">
        <v>8</v>
      </c>
      <c r="J53" s="66">
        <f>H53+2*I53</f>
        <v>32</v>
      </c>
      <c r="M53" s="41"/>
    </row>
    <row r="54" ht="16.5" spans="1:10">
      <c r="A54" s="78"/>
      <c r="B54" s="48">
        <v>375</v>
      </c>
      <c r="C54" s="28">
        <v>80</v>
      </c>
      <c r="D54" s="28">
        <v>10.5</v>
      </c>
      <c r="E54" s="29">
        <v>12</v>
      </c>
      <c r="G54" s="22" t="s">
        <v>92</v>
      </c>
      <c r="H54" s="22">
        <v>18</v>
      </c>
      <c r="I54" s="38">
        <v>7</v>
      </c>
      <c r="J54" s="24">
        <f>H54+2*I54</f>
        <v>32</v>
      </c>
    </row>
    <row r="55" ht="15.75" spans="1:10">
      <c r="A55" s="55" t="s">
        <v>93</v>
      </c>
      <c r="B55" s="22">
        <v>400</v>
      </c>
      <c r="C55" s="23">
        <v>85</v>
      </c>
      <c r="D55" s="23">
        <v>11</v>
      </c>
      <c r="E55" s="24">
        <v>12</v>
      </c>
      <c r="G55" s="22" t="s">
        <v>94</v>
      </c>
      <c r="H55" s="22">
        <v>21</v>
      </c>
      <c r="I55" s="38">
        <v>5</v>
      </c>
      <c r="J55" s="24">
        <f t="shared" ref="J55:J61" si="0">H55+2*I55</f>
        <v>31</v>
      </c>
    </row>
    <row r="56" ht="15.75" spans="1:10">
      <c r="A56" s="55"/>
      <c r="B56" s="22">
        <v>425</v>
      </c>
      <c r="C56" s="23">
        <v>90</v>
      </c>
      <c r="D56" s="23" t="s">
        <v>95</v>
      </c>
      <c r="E56" s="24">
        <v>12</v>
      </c>
      <c r="G56" s="22" t="s">
        <v>96</v>
      </c>
      <c r="H56" s="22">
        <v>22</v>
      </c>
      <c r="I56" s="38">
        <v>5</v>
      </c>
      <c r="J56" s="24">
        <f t="shared" si="0"/>
        <v>32</v>
      </c>
    </row>
    <row r="57" ht="15.75" spans="1:10">
      <c r="A57" s="55" t="s">
        <v>97</v>
      </c>
      <c r="B57" s="22">
        <v>450</v>
      </c>
      <c r="C57" s="23">
        <v>95</v>
      </c>
      <c r="D57" s="23" t="s">
        <v>98</v>
      </c>
      <c r="E57" s="24">
        <v>12</v>
      </c>
      <c r="G57" s="25" t="s">
        <v>99</v>
      </c>
      <c r="H57" s="25">
        <v>16</v>
      </c>
      <c r="I57" s="38">
        <v>8</v>
      </c>
      <c r="J57" s="24">
        <f t="shared" si="0"/>
        <v>32</v>
      </c>
    </row>
    <row r="58" ht="15.75" spans="1:10">
      <c r="A58" s="55"/>
      <c r="B58" s="22">
        <v>475</v>
      </c>
      <c r="C58" s="23">
        <v>100</v>
      </c>
      <c r="D58" s="23" t="s">
        <v>100</v>
      </c>
      <c r="E58" s="24">
        <v>12</v>
      </c>
      <c r="G58" s="22" t="s">
        <v>101</v>
      </c>
      <c r="H58" s="22">
        <v>14</v>
      </c>
      <c r="I58" s="38">
        <v>9</v>
      </c>
      <c r="J58" s="24">
        <f t="shared" si="0"/>
        <v>32</v>
      </c>
    </row>
    <row r="59" ht="15.75" spans="2:10">
      <c r="B59" s="35">
        <v>500</v>
      </c>
      <c r="C59" s="23">
        <v>105</v>
      </c>
      <c r="D59" s="77" t="s">
        <v>102</v>
      </c>
      <c r="E59" s="24">
        <v>12</v>
      </c>
      <c r="G59" s="22" t="s">
        <v>103</v>
      </c>
      <c r="H59" s="22">
        <v>20</v>
      </c>
      <c r="I59" s="38">
        <v>6</v>
      </c>
      <c r="J59" s="24">
        <f t="shared" si="0"/>
        <v>32</v>
      </c>
    </row>
    <row r="60" ht="15.75" spans="1:10">
      <c r="A60" s="55"/>
      <c r="B60" s="35">
        <v>600</v>
      </c>
      <c r="C60" s="77"/>
      <c r="D60" s="77">
        <v>14.5</v>
      </c>
      <c r="E60" s="24">
        <v>13</v>
      </c>
      <c r="G60" s="22" t="s">
        <v>104</v>
      </c>
      <c r="H60" s="22">
        <v>17</v>
      </c>
      <c r="I60" s="38">
        <v>4</v>
      </c>
      <c r="J60" s="24">
        <f t="shared" si="0"/>
        <v>25</v>
      </c>
    </row>
    <row r="61" ht="16.5" spans="2:10">
      <c r="B61" s="35">
        <v>750</v>
      </c>
      <c r="C61" s="77"/>
      <c r="D61" s="77">
        <v>15</v>
      </c>
      <c r="E61" s="24">
        <v>13</v>
      </c>
      <c r="G61" s="27" t="s">
        <v>105</v>
      </c>
      <c r="H61" s="27">
        <v>26</v>
      </c>
      <c r="I61" s="26">
        <v>3</v>
      </c>
      <c r="J61" s="29">
        <f t="shared" si="0"/>
        <v>32</v>
      </c>
    </row>
    <row r="62" ht="16.5" spans="2:9">
      <c r="B62" s="48">
        <v>1000</v>
      </c>
      <c r="C62" s="28"/>
      <c r="D62" s="28">
        <v>15.5</v>
      </c>
      <c r="E62" s="29">
        <v>13</v>
      </c>
      <c r="H62" s="23"/>
      <c r="I62" s="23"/>
    </row>
    <row r="63" spans="7:9">
      <c r="G63" s="23"/>
      <c r="H63" s="23"/>
      <c r="I63" s="23"/>
    </row>
    <row r="64" ht="15.75" spans="7:9">
      <c r="G64" s="23"/>
      <c r="H64" s="23"/>
      <c r="I64" s="23"/>
    </row>
    <row r="65" ht="75.75" spans="1:10">
      <c r="A65">
        <f>147*2*0.8</f>
        <v>235.2</v>
      </c>
      <c r="C65" s="88" t="s">
        <v>106</v>
      </c>
      <c r="D65" s="88" t="s">
        <v>107</v>
      </c>
      <c r="E65" s="88" t="s">
        <v>108</v>
      </c>
      <c r="G65" s="23"/>
      <c r="H65" s="89" t="s">
        <v>109</v>
      </c>
      <c r="I65" t="s">
        <v>110</v>
      </c>
      <c r="J65" s="41"/>
    </row>
    <row r="66" ht="90.75" spans="3:10">
      <c r="C66" s="88" t="s">
        <v>111</v>
      </c>
      <c r="E66" s="23"/>
      <c r="F66" s="23"/>
      <c r="G66" s="23"/>
      <c r="H66" s="23" t="s">
        <v>112</v>
      </c>
      <c r="I66" t="s">
        <v>113</v>
      </c>
      <c r="J66" s="23" t="s">
        <v>114</v>
      </c>
    </row>
    <row r="67" spans="5:10">
      <c r="E67" s="90"/>
      <c r="F67" s="23"/>
      <c r="G67" s="23"/>
      <c r="H67" s="23" t="s">
        <v>112</v>
      </c>
      <c r="I67" t="s">
        <v>115</v>
      </c>
      <c r="J67" s="23" t="s">
        <v>114</v>
      </c>
    </row>
    <row r="68" spans="3:10">
      <c r="C68" s="23"/>
      <c r="E68" s="23"/>
      <c r="F68" s="23"/>
      <c r="G68" s="23"/>
      <c r="H68" s="23" t="s">
        <v>112</v>
      </c>
      <c r="I68" t="s">
        <v>116</v>
      </c>
      <c r="J68" s="23" t="s">
        <v>117</v>
      </c>
    </row>
    <row r="69" ht="13" customHeight="1" spans="5:10">
      <c r="E69" s="23"/>
      <c r="F69" s="23"/>
      <c r="G69" s="23"/>
      <c r="H69" s="23" t="s">
        <v>118</v>
      </c>
      <c r="I69" s="89" t="s">
        <v>119</v>
      </c>
      <c r="J69" s="23" t="s">
        <v>117</v>
      </c>
    </row>
    <row r="70" spans="5:10">
      <c r="E70" s="23"/>
      <c r="F70" s="23"/>
      <c r="G70" s="23"/>
      <c r="H70" s="23" t="s">
        <v>120</v>
      </c>
      <c r="I70" s="89" t="s">
        <v>121</v>
      </c>
      <c r="J70" s="23" t="s">
        <v>122</v>
      </c>
    </row>
    <row r="71" ht="15.75" spans="1:14">
      <c r="A71" s="91"/>
      <c r="B71" s="92"/>
      <c r="C71" s="93"/>
      <c r="D71" s="93"/>
      <c r="E71" s="41"/>
      <c r="F71" s="41"/>
      <c r="G71" s="41"/>
      <c r="H71" s="41"/>
      <c r="I71" s="41"/>
      <c r="J71" s="41"/>
      <c r="K71" s="41"/>
      <c r="M71" s="23"/>
      <c r="N71" s="23"/>
    </row>
    <row r="72" spans="1:14">
      <c r="A72" s="23"/>
      <c r="F72" s="23"/>
      <c r="G72" s="23"/>
      <c r="H72" s="23"/>
      <c r="I72" s="23"/>
      <c r="J72" s="23"/>
      <c r="K72" s="23"/>
      <c r="M72" s="23"/>
      <c r="N72" s="23"/>
    </row>
    <row r="73" spans="1:14">
      <c r="A73" s="23"/>
      <c r="F73" s="23"/>
      <c r="G73" s="94" t="s">
        <v>91</v>
      </c>
      <c r="H73" s="94"/>
      <c r="I73" s="94"/>
      <c r="J73" s="23"/>
      <c r="K73" s="23"/>
      <c r="M73" s="23"/>
      <c r="N73" s="23"/>
    </row>
    <row r="74" spans="1:14">
      <c r="A74" s="23"/>
      <c r="F74" s="23"/>
      <c r="G74" s="23" t="s">
        <v>92</v>
      </c>
      <c r="H74" s="23"/>
      <c r="I74" s="23"/>
      <c r="J74" s="23"/>
      <c r="K74" s="23"/>
      <c r="L74" s="23"/>
      <c r="M74" s="23"/>
      <c r="N74" s="23"/>
    </row>
    <row r="75" spans="1:14">
      <c r="A75" s="23"/>
      <c r="F75" s="23"/>
      <c r="G75" s="23" t="s">
        <v>94</v>
      </c>
      <c r="H75" s="23"/>
      <c r="I75" s="23"/>
      <c r="J75" s="23"/>
      <c r="K75" s="23"/>
      <c r="L75" s="23"/>
      <c r="M75" s="23"/>
      <c r="N75" s="23"/>
    </row>
    <row r="76" spans="1:14">
      <c r="A76" s="23"/>
      <c r="F76" s="23"/>
      <c r="G76" s="23" t="s">
        <v>96</v>
      </c>
      <c r="H76" s="23"/>
      <c r="I76" s="23"/>
      <c r="J76" s="23"/>
      <c r="K76" s="23"/>
      <c r="M76" s="23"/>
      <c r="N76" s="23"/>
    </row>
    <row r="77" ht="15.75" spans="1:14">
      <c r="A77" s="91"/>
      <c r="F77" s="23"/>
      <c r="G77" s="95" t="s">
        <v>99</v>
      </c>
      <c r="H77" s="95"/>
      <c r="I77" s="95"/>
      <c r="J77" s="97"/>
      <c r="K77" s="97"/>
      <c r="L77" s="97"/>
      <c r="M77" s="23"/>
      <c r="N77" s="23"/>
    </row>
    <row r="78" spans="1:14">
      <c r="A78" s="23"/>
      <c r="F78" s="23"/>
      <c r="G78" s="23" t="s">
        <v>101</v>
      </c>
      <c r="H78" s="23"/>
      <c r="I78" s="23"/>
      <c r="J78" s="23"/>
      <c r="K78" s="23"/>
      <c r="M78" s="23"/>
      <c r="N78" s="23"/>
    </row>
    <row r="79" spans="1:14">
      <c r="A79" s="23"/>
      <c r="F79" s="23"/>
      <c r="G79" s="23" t="s">
        <v>104</v>
      </c>
      <c r="H79" s="23"/>
      <c r="I79" s="23"/>
      <c r="J79" s="23"/>
      <c r="K79" s="23"/>
      <c r="L79" s="23"/>
      <c r="M79" s="23"/>
      <c r="N79" s="23"/>
    </row>
    <row r="80" spans="1:14">
      <c r="A80" s="23"/>
      <c r="F80" s="23"/>
      <c r="G80" s="23" t="s">
        <v>103</v>
      </c>
      <c r="H80" s="23"/>
      <c r="I80" s="23"/>
      <c r="J80" s="23"/>
      <c r="K80" s="23"/>
      <c r="L80" s="23"/>
      <c r="M80" s="23"/>
      <c r="N80" s="23"/>
    </row>
    <row r="81" spans="1:11">
      <c r="A81" s="23"/>
      <c r="F81" s="23"/>
      <c r="G81" s="23" t="s">
        <v>105</v>
      </c>
      <c r="H81" s="23"/>
      <c r="I81" s="23"/>
      <c r="J81" s="23"/>
      <c r="K81" s="23"/>
    </row>
    <row r="82" spans="1:11">
      <c r="A82" s="23"/>
      <c r="F82" s="23"/>
      <c r="G82" s="23"/>
      <c r="H82" s="23"/>
      <c r="I82" s="23"/>
      <c r="J82" s="23"/>
      <c r="K82" s="23"/>
    </row>
    <row r="83" spans="1:11">
      <c r="A83" s="23"/>
      <c r="F83" s="23"/>
      <c r="G83" s="23"/>
      <c r="H83" s="23"/>
      <c r="I83" s="23"/>
      <c r="J83" s="23"/>
      <c r="K83" s="23"/>
    </row>
    <row r="84" spans="1:11">
      <c r="A84" s="23"/>
      <c r="F84" s="85"/>
      <c r="G84" s="85"/>
      <c r="H84" s="23">
        <v>5</v>
      </c>
      <c r="I84" s="23">
        <v>3</v>
      </c>
      <c r="J84" s="23"/>
      <c r="K84" s="23"/>
    </row>
    <row r="85" spans="6:11">
      <c r="F85" s="23"/>
      <c r="G85" s="23"/>
      <c r="H85" s="90"/>
      <c r="I85" s="23"/>
      <c r="J85" s="23"/>
      <c r="K85" s="23"/>
    </row>
    <row r="86" spans="6:11">
      <c r="F86" s="23"/>
      <c r="G86" s="23"/>
      <c r="H86" s="23"/>
      <c r="I86" s="23"/>
      <c r="J86" s="23"/>
      <c r="K86" s="23"/>
    </row>
    <row r="87" spans="6:11">
      <c r="F87" s="23"/>
      <c r="G87" s="23"/>
      <c r="H87" s="23"/>
      <c r="I87" s="23"/>
      <c r="J87" s="23"/>
      <c r="K87" s="23"/>
    </row>
    <row r="88" spans="6:11">
      <c r="F88" s="23"/>
      <c r="H88" s="23"/>
      <c r="I88" s="23"/>
      <c r="J88" s="23"/>
      <c r="K88" s="23"/>
    </row>
    <row r="89" spans="6:11">
      <c r="F89" s="23"/>
      <c r="H89" s="23"/>
      <c r="I89" s="23"/>
      <c r="J89" s="23"/>
      <c r="K89" s="23"/>
    </row>
    <row r="90" spans="6:11">
      <c r="F90" s="23"/>
      <c r="G90" s="23"/>
      <c r="H90" s="23"/>
      <c r="I90" s="23"/>
      <c r="J90" s="23"/>
      <c r="K90" s="23"/>
    </row>
    <row r="91" spans="6:11">
      <c r="F91" s="23"/>
      <c r="G91" s="23"/>
      <c r="H91" s="23"/>
      <c r="I91" s="23"/>
      <c r="J91" s="23"/>
      <c r="K91" s="23"/>
    </row>
    <row r="92" spans="6:11">
      <c r="F92" s="23"/>
      <c r="G92" s="23"/>
      <c r="H92" s="23"/>
      <c r="I92" s="23"/>
      <c r="J92" s="23"/>
      <c r="K92" s="23"/>
    </row>
    <row r="93" spans="6:11">
      <c r="F93" s="23"/>
      <c r="G93" s="23"/>
      <c r="H93" s="23"/>
      <c r="I93" s="23"/>
      <c r="J93" s="23"/>
      <c r="K93" s="23"/>
    </row>
    <row r="94" spans="6:11">
      <c r="F94" s="96"/>
      <c r="G94" s="23"/>
      <c r="H94" s="23"/>
      <c r="I94" s="23"/>
      <c r="J94" s="23"/>
      <c r="K94" s="23"/>
    </row>
    <row r="95" spans="2:11">
      <c r="B95" s="23"/>
      <c r="C95" s="23">
        <f>AVERAGE(H53:H61)</f>
        <v>18.8888888888889</v>
      </c>
      <c r="D95" s="23">
        <f>AVERAGE(I53:I61)</f>
        <v>6.11111111111111</v>
      </c>
      <c r="E95" s="23"/>
      <c r="F95" s="23"/>
      <c r="G95" s="23"/>
      <c r="H95" s="23"/>
      <c r="I95" s="23"/>
      <c r="J95" s="23"/>
      <c r="K95" s="23"/>
    </row>
    <row r="96" spans="5:11">
      <c r="E96" s="23"/>
      <c r="I96" s="23"/>
      <c r="J96" s="23"/>
      <c r="K96" s="23"/>
    </row>
    <row r="97" spans="1:11">
      <c r="A97" s="23"/>
      <c r="B97" s="23"/>
      <c r="C97" s="23"/>
      <c r="D97" s="23"/>
      <c r="E97" s="23"/>
      <c r="F97" s="96"/>
      <c r="G97" s="23"/>
      <c r="H97" s="23"/>
      <c r="I97" s="23"/>
      <c r="J97" s="23"/>
      <c r="K97" s="23"/>
    </row>
    <row r="98" spans="1:1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spans="2:6">
      <c r="B99" s="23"/>
      <c r="C99" s="23"/>
      <c r="D99" s="23"/>
      <c r="E99" s="23"/>
      <c r="F99" s="23"/>
    </row>
    <row r="100" spans="1:6">
      <c r="A100" s="23"/>
      <c r="B100" s="23"/>
      <c r="C100" s="23"/>
      <c r="D100" s="23"/>
      <c r="E100" s="23"/>
      <c r="F100" s="23"/>
    </row>
    <row r="101" spans="3:6">
      <c r="C101" s="23"/>
      <c r="D101" s="23"/>
      <c r="E101" s="23"/>
      <c r="F101" s="23"/>
    </row>
    <row r="102" spans="3:6">
      <c r="C102" s="23"/>
      <c r="D102" s="23"/>
      <c r="E102" s="23"/>
      <c r="F102" s="89"/>
    </row>
    <row r="103" spans="3:6">
      <c r="C103" s="23"/>
      <c r="D103" s="23"/>
      <c r="E103" s="23"/>
      <c r="F103" s="23"/>
    </row>
    <row r="104" spans="3:6">
      <c r="C104" s="23"/>
      <c r="D104" s="23"/>
      <c r="E104" s="23"/>
      <c r="F104" s="23"/>
    </row>
    <row r="105" spans="3:6">
      <c r="C105" s="23"/>
      <c r="D105" s="23"/>
      <c r="E105" s="23"/>
      <c r="F105" s="23"/>
    </row>
    <row r="106" spans="3:6">
      <c r="C106" s="23"/>
      <c r="D106" s="23"/>
      <c r="E106" s="23"/>
      <c r="F106" s="23"/>
    </row>
    <row r="107" spans="3:6">
      <c r="C107" s="23"/>
      <c r="D107" s="23"/>
      <c r="E107" s="23"/>
      <c r="F107" s="23"/>
    </row>
    <row r="108" spans="3:6">
      <c r="C108" s="23"/>
      <c r="D108" s="23"/>
      <c r="E108" s="23"/>
      <c r="F108" s="23"/>
    </row>
    <row r="109" spans="3:6">
      <c r="C109" s="23"/>
      <c r="D109" s="23"/>
      <c r="E109" s="23"/>
      <c r="F109" s="23"/>
    </row>
    <row r="110" spans="3:6">
      <c r="C110" s="23"/>
      <c r="D110" s="23"/>
      <c r="E110" s="23"/>
      <c r="F110" s="23"/>
    </row>
    <row r="111" spans="3:6">
      <c r="C111" s="23"/>
      <c r="D111" s="23"/>
      <c r="E111" s="23"/>
      <c r="F111" s="23"/>
    </row>
  </sheetData>
  <mergeCells count="14">
    <mergeCell ref="B3:D3"/>
    <mergeCell ref="E3:G3"/>
    <mergeCell ref="M3:N3"/>
    <mergeCell ref="M4:N4"/>
    <mergeCell ref="M5:N5"/>
    <mergeCell ref="M6:N6"/>
    <mergeCell ref="M7:N7"/>
    <mergeCell ref="C8:F8"/>
    <mergeCell ref="C26:F26"/>
    <mergeCell ref="C27:F27"/>
    <mergeCell ref="C37:D37"/>
    <mergeCell ref="C38:D38"/>
    <mergeCell ref="K74:L74"/>
    <mergeCell ref="K75:L75"/>
  </mergeCells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Standard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</cp:lastModifiedBy>
  <dcterms:created xsi:type="dcterms:W3CDTF">2018-09-02T12:33:00Z</dcterms:created>
  <dcterms:modified xsi:type="dcterms:W3CDTF">2026-01-12T14:30:47Z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1033-12.2.0.23155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</Properties>
</file>