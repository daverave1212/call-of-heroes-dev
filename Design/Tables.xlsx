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30" windowHeight="12300"/>
  </bookViews>
  <sheets>
    <sheet name="Standard" sheetId="3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<sst xmlns="http://schemas.openxmlformats.org/spreadsheetml/2006/main" count="196" uniqueCount="115">
  <si>
    <t>Action Points</t>
  </si>
  <si>
    <t>Charges</t>
  </si>
  <si>
    <t>Damage (3.5 Armor)</t>
  </si>
  <si>
    <t>Heal</t>
  </si>
  <si>
    <t>Ranged Penalty</t>
  </si>
  <si>
    <r>
      <rPr>
        <sz val="12"/>
        <rFont val="Calibri"/>
        <charset val="134"/>
        <scheme val="minor"/>
      </rPr>
      <t xml:space="preserve">   6.5 | </t>
    </r>
    <r>
      <rPr>
        <sz val="12"/>
        <color theme="4"/>
        <rFont val="Calibri"/>
        <charset val="134"/>
        <scheme val="minor"/>
      </rPr>
      <t>AoE 5</t>
    </r>
  </si>
  <si>
    <r>
      <rPr>
        <sz val="12"/>
        <rFont val="Calibri"/>
        <charset val="134"/>
        <scheme val="minor"/>
      </rPr>
      <t xml:space="preserve">   14 | </t>
    </r>
    <r>
      <rPr>
        <sz val="12"/>
        <color theme="4"/>
        <rFont val="Calibri"/>
        <charset val="134"/>
        <scheme val="minor"/>
      </rPr>
      <t>AoE 10</t>
    </r>
  </si>
  <si>
    <r>
      <t xml:space="preserve">   21.5 | </t>
    </r>
    <r>
      <rPr>
        <sz val="12"/>
        <color theme="4"/>
        <rFont val="Calibri"/>
        <charset val="134"/>
        <scheme val="minor"/>
      </rPr>
      <t>AoE 10</t>
    </r>
  </si>
  <si>
    <r>
      <rPr>
        <sz val="12"/>
        <rFont val="Calibri"/>
        <charset val="134"/>
        <scheme val="minor"/>
      </rPr>
      <t xml:space="preserve">   4.5 | </t>
    </r>
    <r>
      <rPr>
        <sz val="12"/>
        <color theme="4"/>
        <rFont val="Calibri"/>
        <charset val="134"/>
        <scheme val="minor"/>
      </rPr>
      <t>AoE 3</t>
    </r>
  </si>
  <si>
    <r>
      <rPr>
        <sz val="11"/>
        <color theme="1"/>
        <rFont val="Calibri"/>
        <charset val="134"/>
        <scheme val="minor"/>
      </rPr>
      <t xml:space="preserve">6 | </t>
    </r>
    <r>
      <rPr>
        <sz val="11"/>
        <color theme="4"/>
        <rFont val="Calibri"/>
        <charset val="134"/>
        <scheme val="minor"/>
      </rPr>
      <t>AoE 2</t>
    </r>
  </si>
  <si>
    <r>
      <rPr>
        <sz val="12"/>
        <rFont val="Calibri"/>
        <charset val="134"/>
        <scheme val="minor"/>
      </rPr>
      <t xml:space="preserve">   11 | </t>
    </r>
    <r>
      <rPr>
        <sz val="12"/>
        <color theme="4"/>
        <rFont val="Calibri"/>
        <charset val="134"/>
        <scheme val="minor"/>
      </rPr>
      <t>AoE 8</t>
    </r>
  </si>
  <si>
    <r>
      <rPr>
        <sz val="11"/>
        <color theme="1"/>
        <rFont val="Calibri"/>
        <charset val="134"/>
        <scheme val="minor"/>
      </rPr>
      <t xml:space="preserve">8 | </t>
    </r>
    <r>
      <rPr>
        <sz val="11"/>
        <color theme="4"/>
        <rFont val="Calibri"/>
        <charset val="134"/>
        <scheme val="minor"/>
      </rPr>
      <t>AoE 3</t>
    </r>
  </si>
  <si>
    <r>
      <rPr>
        <sz val="12"/>
        <color theme="1"/>
        <rFont val="Calibri"/>
        <charset val="134"/>
        <scheme val="minor"/>
      </rPr>
      <t xml:space="preserve">18.5 | </t>
    </r>
    <r>
      <rPr>
        <sz val="12"/>
        <color theme="4"/>
        <rFont val="Calibri"/>
        <charset val="134"/>
        <scheme val="minor"/>
      </rPr>
      <t>AoE 13</t>
    </r>
  </si>
  <si>
    <r>
      <rPr>
        <sz val="11"/>
        <color theme="1"/>
        <rFont val="Calibri"/>
        <charset val="134"/>
        <scheme val="minor"/>
      </rPr>
      <t xml:space="preserve">10 | </t>
    </r>
    <r>
      <rPr>
        <sz val="11"/>
        <color theme="4"/>
        <rFont val="Calibri"/>
        <charset val="134"/>
        <scheme val="minor"/>
      </rPr>
      <t>AoE 4</t>
    </r>
  </si>
  <si>
    <r>
      <rPr>
        <sz val="12"/>
        <color theme="1"/>
        <rFont val="Calibri"/>
        <charset val="134"/>
        <scheme val="minor"/>
      </rPr>
      <t xml:space="preserve">27 | </t>
    </r>
    <r>
      <rPr>
        <sz val="12"/>
        <color theme="4"/>
        <rFont val="Calibri"/>
        <charset val="134"/>
        <scheme val="minor"/>
      </rPr>
      <t>AoE 18</t>
    </r>
  </si>
  <si>
    <r>
      <rPr>
        <sz val="11"/>
        <color theme="1"/>
        <rFont val="Calibri"/>
        <charset val="134"/>
        <scheme val="minor"/>
      </rPr>
      <t xml:space="preserve">12 | </t>
    </r>
    <r>
      <rPr>
        <sz val="11"/>
        <color theme="4"/>
        <rFont val="Calibri"/>
        <charset val="134"/>
        <scheme val="minor"/>
      </rPr>
      <t>AoE 5</t>
    </r>
  </si>
  <si>
    <t>Pet Attack</t>
  </si>
  <si>
    <t>Pet Attack (Unique)</t>
  </si>
  <si>
    <t>Crowd Control</t>
  </si>
  <si>
    <t>Actions</t>
  </si>
  <si>
    <t>Crowd Control Types</t>
  </si>
  <si>
    <t>Slow (as extra)</t>
  </si>
  <si>
    <t>Fumbling (as extra)</t>
  </si>
  <si>
    <t>Rooted</t>
  </si>
  <si>
    <t>Charm</t>
  </si>
  <si>
    <t>Daze (+extra)</t>
  </si>
  <si>
    <t>Blind</t>
  </si>
  <si>
    <t>Silence</t>
  </si>
  <si>
    <t>Feared</t>
  </si>
  <si>
    <t>Stun</t>
  </si>
  <si>
    <t>Cripple</t>
  </si>
  <si>
    <t>Slow + 0.5 Damage</t>
  </si>
  <si>
    <t>Snare + 0.75 Damage</t>
  </si>
  <si>
    <t>Stun + 0.3 Damage</t>
  </si>
  <si>
    <t>Monster Stats By Rating</t>
  </si>
  <si>
    <t>Experience</t>
  </si>
  <si>
    <t>Health</t>
  </si>
  <si>
    <t>Direct Damage / round</t>
  </si>
  <si>
    <t>Check Grade</t>
  </si>
  <si>
    <t>18.5 (avg) + 3 (avg)</t>
  </si>
  <si>
    <t>Level</t>
  </si>
  <si>
    <t>HP</t>
  </si>
  <si>
    <t>Health Regen (6 + 1 + 2*Level)</t>
  </si>
  <si>
    <t>Level 1</t>
  </si>
  <si>
    <t>Level 2</t>
  </si>
  <si>
    <t>Level 3</t>
  </si>
  <si>
    <t>TODO: Setup some good</t>
  </si>
  <si>
    <t>Level 4</t>
  </si>
  <si>
    <t>baseline damage for mobs</t>
  </si>
  <si>
    <t>at e.g. 200, 300, etc</t>
  </si>
  <si>
    <t>Level 5</t>
  </si>
  <si>
    <t>Go from there.</t>
  </si>
  <si>
    <t>Level 6</t>
  </si>
  <si>
    <t>Calculate 80 or 85% like</t>
  </si>
  <si>
    <t>normal epic monsters.</t>
  </si>
  <si>
    <t>Level 7</t>
  </si>
  <si>
    <t>Race</t>
  </si>
  <si>
    <t>Base Health</t>
  </si>
  <si>
    <t>Health Regen</t>
  </si>
  <si>
    <t>Total Health Per Adventure</t>
  </si>
  <si>
    <t>Level 8</t>
  </si>
  <si>
    <t>Bertle</t>
  </si>
  <si>
    <t>Davel</t>
  </si>
  <si>
    <t>Level 9</t>
  </si>
  <si>
    <t>Dragonborn</t>
  </si>
  <si>
    <t>12 (4d4 + 2)</t>
  </si>
  <si>
    <t>Dwarf</t>
  </si>
  <si>
    <t>Level 10</t>
  </si>
  <si>
    <t>12.5 (3d6 + 2)</t>
  </si>
  <si>
    <t>Elf</t>
  </si>
  <si>
    <t>13 (4d4 + 3)</t>
  </si>
  <si>
    <t>Gnome</t>
  </si>
  <si>
    <t>13.5 (3d6 + 3)</t>
  </si>
  <si>
    <t>Human</t>
  </si>
  <si>
    <t>Hollow</t>
  </si>
  <si>
    <t>Orc</t>
  </si>
  <si>
    <t>The double of another column should be 100% of that column
E.g. 400XP HP = 1.0 * 2 * 200XP HP</t>
  </si>
  <si>
    <t>Epic HP multpliers are:
x2: 0.8
x3: 0.75
x4: 0.7
x5: 0.65</t>
  </si>
  <si>
    <t>The double of another column
should be ~85% of its half
E.g. 400XP dmg = 0.85 * 2 * 200XP dmg</t>
  </si>
  <si>
    <t>Players total XP</t>
  </si>
  <si>
    <t>Monsters XP</t>
  </si>
  <si>
    <t>(PREVIOUSLY) The double of another column
should be 120% of that column
E.g. 400XP HP = 1.2 * 2 * 200XP HP</t>
  </si>
  <si>
    <t>900 (6 players)</t>
  </si>
  <si>
    <t>800 (Koblods + Rats)</t>
  </si>
  <si>
    <t>Easy</t>
  </si>
  <si>
    <t>775 (Oni + 3 Sk)</t>
  </si>
  <si>
    <t>900 (Goblins + Stg)</t>
  </si>
  <si>
    <t>Easy-Medium</t>
  </si>
  <si>
    <t>750 (5 players)</t>
  </si>
  <si>
    <t>950 (Gnawls)</t>
  </si>
  <si>
    <t>825 (5 or 6 players)</t>
  </si>
  <si>
    <t>1125 (Lich + 3 Sk)</t>
  </si>
  <si>
    <t>Hard</t>
  </si>
  <si>
    <t>Cleric</t>
  </si>
  <si>
    <t>Druid</t>
  </si>
  <si>
    <t>Hunter</t>
  </si>
  <si>
    <t>Rogue</t>
  </si>
  <si>
    <t>Warlock</t>
  </si>
  <si>
    <t>Warrior</t>
  </si>
  <si>
    <t>Wizard</t>
  </si>
  <si>
    <t>Artificer</t>
  </si>
  <si>
    <t>Knight</t>
  </si>
  <si>
    <t>Sorcerer</t>
  </si>
  <si>
    <t>Swashbuckler</t>
  </si>
  <si>
    <t>Minor</t>
  </si>
  <si>
    <t>Spec (Minor)</t>
  </si>
  <si>
    <t>Spec (Keystone)</t>
  </si>
  <si>
    <t>Keystone</t>
  </si>
  <si>
    <t>Other</t>
  </si>
  <si>
    <r>
      <rPr>
        <sz val="13"/>
        <color theme="1"/>
        <rFont val="Calibri"/>
        <charset val="134"/>
        <scheme val="minor"/>
      </rPr>
      <t xml:space="preserve">Minor
</t>
    </r>
    <r>
      <rPr>
        <b/>
        <sz val="13"/>
        <color theme="5"/>
        <rFont val="Calibri"/>
        <charset val="134"/>
        <scheme val="minor"/>
      </rPr>
      <t>Extra L1+2</t>
    </r>
  </si>
  <si>
    <t>Upgrade</t>
  </si>
  <si>
    <t>Util</t>
  </si>
  <si>
    <t>Other     ]</t>
  </si>
  <si>
    <t>[     Other</t>
  </si>
  <si>
    <t>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</si>
</sst>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9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b/>
      <sz val="13"/>
      <color theme="4" tint="-0.25"/>
      <name val="Calibri"/>
      <charset val="134"/>
      <scheme val="minor"/>
    </font>
    <font>
      <b/>
      <sz val="12"/>
      <color theme="4"/>
      <name val="Calibri"/>
      <charset val="134"/>
      <scheme val="minor"/>
    </font>
    <font>
      <b/>
      <sz val="12"/>
      <color rgb="FF00B0F0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name val="Calibri"/>
      <charset val="134"/>
      <scheme val="minor"/>
    </font>
    <font>
      <sz val="12"/>
      <color theme="0" tint="-0.24997711111789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7030A0"/>
      <name val="Calibri"/>
      <charset val="134"/>
      <scheme val="minor"/>
    </font>
    <font>
      <sz val="11"/>
      <color theme="4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2"/>
      <color rgb="FFCB5D13"/>
      <name val="Calibri"/>
      <charset val="134"/>
      <scheme val="minor"/>
    </font>
    <font>
      <b/>
      <sz val="12"/>
      <color rgb="FFF68E0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4"/>
      <name val="Calibri"/>
      <charset val="134"/>
      <scheme val="minor"/>
    </font>
    <font>
      <b/>
      <sz val="13"/>
      <color theme="5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1FF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9" applyNumberFormat="0" applyAlignment="0" applyProtection="0">
      <alignment vertical="center"/>
    </xf>
    <xf numFmtId="0" fontId="27" fillId="5" borderId="20" applyNumberFormat="0" applyAlignment="0" applyProtection="0">
      <alignment vertical="center"/>
    </xf>
    <xf numFmtId="0" fontId="28" fillId="5" borderId="19" applyNumberFormat="0" applyAlignment="0" applyProtection="0">
      <alignment vertical="center"/>
    </xf>
    <xf numFmtId="0" fontId="29" fillId="6" borderId="21" applyNumberFormat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NumberFormat="1" applyFont="1">
      <alignment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4" xfId="0" applyFont="1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B5D13"/>
      <color rgb="00F68E08"/>
      <color rgb="00FFC423"/>
      <color rgb="00F4B200"/>
      <color rgb="00CBFFFA"/>
      <color rgb="00B1FF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101"/>
  <sheetViews>
    <sheetView tabSelected="1" workbookViewId="0">
      <selection activeCell="F8" sqref="F8"/>
    </sheetView>
  </sheetViews>
  <sheetFormatPr defaultColWidth="9.15238095238095" defaultRowHeight="15"/>
  <cols>
    <col min="1" max="1" width="17.2571428571429" customWidth="1"/>
    <col min="2" max="2" width="19.7333333333333" customWidth="1"/>
    <col min="3" max="3" width="24.4761904761905" customWidth="1"/>
    <col min="4" max="4" width="26.8285714285714" customWidth="1"/>
    <col min="5" max="5" width="30.7904761904762" customWidth="1"/>
    <col min="6" max="6" width="24.5809523809524" customWidth="1"/>
    <col min="7" max="7" width="27.9428571428571" customWidth="1"/>
    <col min="8" max="8" width="21" customWidth="1"/>
    <col min="9" max="9" width="25.952380952381" customWidth="1"/>
    <col min="10" max="10" width="23.7238095238095" customWidth="1"/>
    <col min="11" max="11" width="17.152380952381" customWidth="1"/>
    <col min="12" max="12" width="23" customWidth="1"/>
    <col min="13" max="13" width="14.152380952381" customWidth="1"/>
    <col min="14" max="14" width="11" customWidth="1"/>
  </cols>
  <sheetData>
    <row r="3" ht="15.75" spans="1:11">
      <c r="B3" s="10"/>
      <c r="D3" s="10"/>
      <c r="E3" s="10"/>
      <c r="F3" s="10"/>
    </row>
    <row r="4" ht="15.75" spans="1:11">
      <c r="A4" s="11" t="s">
        <v>0</v>
      </c>
      <c r="B4" s="12" t="s">
        <v>1</v>
      </c>
      <c r="C4" s="13" t="s">
        <v>2</v>
      </c>
      <c r="D4" s="13" t="s">
        <v>3</v>
      </c>
      <c r="E4" s="13" t="s">
        <v>4</v>
      </c>
      <c r="H4" s="10"/>
    </row>
    <row r="5" ht="15.75" spans="1:11">
      <c r="A5" s="14">
        <v>0</v>
      </c>
      <c r="B5" s="15">
        <v>0</v>
      </c>
      <c r="C5" s="16">
        <v>0</v>
      </c>
      <c r="D5" s="17">
        <v>0</v>
      </c>
      <c r="E5" s="17">
        <v>0</v>
      </c>
      <c r="H5" s="10"/>
    </row>
    <row r="6" ht="15.75" spans="1:11">
      <c r="A6" s="14">
        <v>1</v>
      </c>
      <c r="B6" s="15">
        <v>0</v>
      </c>
      <c r="C6" s="18" t="s">
        <v>5</v>
      </c>
      <c r="D6" s="17">
        <v>0</v>
      </c>
      <c r="E6" s="17">
        <v>-1</v>
      </c>
      <c r="H6" s="19"/>
      <c r="K6" s="20"/>
    </row>
    <row r="7" customFormat="1" ht="15.75" spans="1:11">
      <c r="A7" s="14">
        <v>2</v>
      </c>
      <c r="B7" s="15">
        <v>0</v>
      </c>
      <c r="C7" s="18" t="s">
        <v>6</v>
      </c>
      <c r="D7" s="17">
        <v>0</v>
      </c>
      <c r="E7" s="17">
        <v>-2</v>
      </c>
      <c r="H7" s="21"/>
      <c r="K7" s="20"/>
    </row>
    <row r="8" ht="15.75" spans="1:11">
      <c r="A8" s="14">
        <v>3</v>
      </c>
      <c r="B8" s="15">
        <v>0</v>
      </c>
      <c r="C8" s="18" t="s">
        <v>7</v>
      </c>
      <c r="D8" s="17">
        <v>0</v>
      </c>
      <c r="E8" s="17">
        <v>-3</v>
      </c>
      <c r="F8"/>
      <c r="H8" s="21"/>
      <c r="K8" s="20"/>
    </row>
    <row r="9" ht="15.75" spans="1:11">
      <c r="A9" s="22">
        <v>0</v>
      </c>
      <c r="B9" s="23">
        <v>1</v>
      </c>
      <c r="C9" s="24" t="s">
        <v>8</v>
      </c>
      <c r="D9" s="25" t="s">
        <v>9</v>
      </c>
      <c r="E9" s="26">
        <v>0</v>
      </c>
      <c r="F9"/>
      <c r="G9"/>
      <c r="H9" s="19"/>
      <c r="J9" s="27"/>
      <c r="K9" s="20"/>
    </row>
    <row r="10" ht="15.75" spans="1:11">
      <c r="A10" s="14">
        <v>1</v>
      </c>
      <c r="B10" s="15">
        <v>1</v>
      </c>
      <c r="C10" s="18" t="s">
        <v>10</v>
      </c>
      <c r="D10" s="28" t="s">
        <v>11</v>
      </c>
      <c r="E10" s="17">
        <v>-1</v>
      </c>
      <c r="H10" s="21"/>
      <c r="K10" s="20"/>
    </row>
    <row r="11" ht="15.75" spans="1:11">
      <c r="A11" s="14">
        <v>2</v>
      </c>
      <c r="B11" s="15">
        <v>1</v>
      </c>
      <c r="C11" s="14" t="s">
        <v>12</v>
      </c>
      <c r="D11" s="17" t="s">
        <v>13</v>
      </c>
      <c r="E11" s="17">
        <v>-2</v>
      </c>
      <c r="F11">
        <f>5*2.5</f>
        <v>12.5</v>
      </c>
      <c r="H11" s="21"/>
      <c r="K11" s="20"/>
    </row>
    <row r="12" ht="16.5" spans="1:11">
      <c r="A12" s="29">
        <v>3</v>
      </c>
      <c r="B12" s="30">
        <v>1</v>
      </c>
      <c r="C12" s="29" t="s">
        <v>14</v>
      </c>
      <c r="D12" s="31" t="s">
        <v>15</v>
      </c>
      <c r="E12" s="32">
        <v>-3</v>
      </c>
      <c r="G12" s="10"/>
      <c r="H12" s="20"/>
      <c r="I12" s="20"/>
      <c r="J12" s="20"/>
      <c r="K12" s="20"/>
    </row>
    <row r="13" ht="15.75" spans="1:11">
      <c r="A13" s="33">
        <v>1</v>
      </c>
      <c r="B13" s="34" t="s">
        <v>16</v>
      </c>
      <c r="C13" s="35">
        <v>6</v>
      </c>
      <c r="D13" s="34">
        <v>2</v>
      </c>
      <c r="E13" s="13">
        <v>3</v>
      </c>
      <c r="G13" s="10"/>
      <c r="H13" s="20"/>
      <c r="I13" s="20"/>
      <c r="J13" s="20"/>
      <c r="K13" s="20"/>
    </row>
    <row r="14" ht="16.5" spans="1:11">
      <c r="A14" s="36">
        <v>1</v>
      </c>
      <c r="B14" s="29" t="s">
        <v>17</v>
      </c>
      <c r="C14" s="37">
        <v>8</v>
      </c>
      <c r="D14" s="29">
        <v>4</v>
      </c>
      <c r="E14" s="32">
        <v>5.5</v>
      </c>
      <c r="G14" s="10"/>
      <c r="H14" s="20"/>
      <c r="I14" s="20"/>
      <c r="J14" s="20"/>
      <c r="K14" s="20"/>
    </row>
    <row r="15" ht="16.5" spans="1:11">
      <c r="A15" s="38"/>
      <c r="B15" s="21"/>
      <c r="C15" s="21"/>
      <c r="D15" s="21"/>
      <c r="E15" s="10"/>
      <c r="F15" s="10"/>
      <c r="G15" s="27"/>
      <c r="H15" s="10"/>
      <c r="I15" s="20"/>
      <c r="J15" s="20"/>
      <c r="K15" s="39"/>
    </row>
    <row r="16" ht="15.75" spans="1:11">
      <c r="A16" s="40"/>
      <c r="B16" s="41"/>
      <c r="C16" s="42" t="s">
        <v>18</v>
      </c>
      <c r="D16" s="43"/>
      <c r="E16" s="43"/>
      <c r="F16" s="44"/>
      <c r="K16" s="10"/>
    </row>
    <row r="17" ht="16.5" spans="1:12">
      <c r="A17" s="45" t="s">
        <v>19</v>
      </c>
      <c r="B17" s="46" t="s">
        <v>1</v>
      </c>
      <c r="C17" s="47" t="s">
        <v>20</v>
      </c>
      <c r="D17" s="48"/>
      <c r="E17" s="48"/>
      <c r="F17" s="49"/>
      <c r="K17" s="50"/>
      <c r="L17" s="50"/>
    </row>
    <row r="18" spans="1:12">
      <c r="A18" s="51">
        <v>0</v>
      </c>
      <c r="B18" s="10">
        <v>0</v>
      </c>
      <c r="C18" s="51" t="s">
        <v>21</v>
      </c>
      <c r="D18" s="10" t="s">
        <v>22</v>
      </c>
      <c r="E18" s="41"/>
      <c r="F18" s="52"/>
      <c r="K18" s="10"/>
    </row>
    <row r="19" spans="1:12">
      <c r="A19" s="51">
        <v>0.5</v>
      </c>
      <c r="B19" s="10">
        <v>0</v>
      </c>
      <c r="C19" s="53" t="s">
        <v>23</v>
      </c>
      <c r="D19" s="54" t="s">
        <v>24</v>
      </c>
      <c r="E19" s="10"/>
      <c r="F19" s="55"/>
      <c r="K19" s="10"/>
    </row>
    <row r="20" spans="1:12">
      <c r="A20" s="51">
        <v>1</v>
      </c>
      <c r="B20" s="10">
        <v>0</v>
      </c>
      <c r="C20" s="56"/>
      <c r="D20" s="57"/>
      <c r="E20" s="57"/>
      <c r="F20" s="58"/>
      <c r="K20" s="10"/>
    </row>
    <row r="21" spans="1:12">
      <c r="A21" s="51">
        <v>0</v>
      </c>
      <c r="B21" s="10">
        <v>1</v>
      </c>
      <c r="C21" s="51" t="s">
        <v>25</v>
      </c>
      <c r="D21" s="10" t="s">
        <v>26</v>
      </c>
      <c r="E21" s="10" t="s">
        <v>27</v>
      </c>
      <c r="F21" s="55" t="s">
        <v>28</v>
      </c>
    </row>
    <row r="22" spans="1:12">
      <c r="A22" s="51">
        <v>0.5</v>
      </c>
      <c r="B22" s="10">
        <v>1</v>
      </c>
      <c r="C22" s="51" t="s">
        <v>29</v>
      </c>
      <c r="D22" s="10" t="s">
        <v>30</v>
      </c>
      <c r="E22" s="10"/>
      <c r="F22" s="55"/>
    </row>
    <row r="23" ht="15.75" spans="1:12">
      <c r="A23" s="59">
        <v>1</v>
      </c>
      <c r="B23" s="60">
        <v>1</v>
      </c>
      <c r="C23" s="59"/>
      <c r="D23" s="60"/>
      <c r="E23" s="60"/>
      <c r="F23" s="61"/>
    </row>
    <row r="24" ht="15.75" spans="1:12">
      <c r="A24" s="33">
        <v>1</v>
      </c>
      <c r="B24" s="62" t="s">
        <v>16</v>
      </c>
      <c r="C24" s="40" t="s">
        <v>31</v>
      </c>
      <c r="D24" s="63"/>
      <c r="E24" s="63"/>
      <c r="F24" s="62"/>
      <c r="K24" s="21"/>
    </row>
    <row r="25" ht="16.5" spans="1:12">
      <c r="A25" s="36">
        <v>1</v>
      </c>
      <c r="B25" s="64" t="s">
        <v>17</v>
      </c>
      <c r="C25" s="36" t="s">
        <v>32</v>
      </c>
      <c r="D25" s="30" t="s">
        <v>33</v>
      </c>
      <c r="E25" s="30"/>
      <c r="F25" s="64"/>
      <c r="K25" s="21"/>
    </row>
    <row r="26" ht="15.75" spans="1:12">
      <c r="A26" s="21"/>
      <c r="B26" s="21"/>
      <c r="C26" s="21"/>
      <c r="D26" s="21"/>
      <c r="E26" s="21"/>
      <c r="F26" s="21"/>
      <c r="G26" s="21"/>
      <c r="H26" s="21"/>
      <c r="I26" s="10"/>
      <c r="J26" s="10"/>
      <c r="K26" s="21"/>
    </row>
    <row r="27" ht="16.5" spans="1:12">
      <c r="A27" s="21"/>
      <c r="B27" s="21"/>
      <c r="C27" s="21"/>
      <c r="D27" s="21"/>
      <c r="E27" s="21"/>
      <c r="F27" s="21"/>
      <c r="G27" s="21"/>
      <c r="H27" s="21"/>
      <c r="I27" s="10"/>
      <c r="J27" s="10"/>
      <c r="K27" s="21"/>
    </row>
    <row r="28" ht="16.5" spans="1:12">
      <c r="A28" s="21"/>
      <c r="C28" s="33" t="s">
        <v>34</v>
      </c>
      <c r="D28" s="62"/>
      <c r="F28" s="21"/>
      <c r="G28" s="21"/>
      <c r="H28" s="38"/>
      <c r="I28" s="21"/>
      <c r="J28" s="10"/>
      <c r="K28" s="21"/>
    </row>
    <row r="29" ht="16.5" spans="1:12">
      <c r="A29" s="38"/>
      <c r="B29" s="40" t="s">
        <v>35</v>
      </c>
      <c r="C29" s="41" t="s">
        <v>36</v>
      </c>
      <c r="D29" s="41" t="s">
        <v>37</v>
      </c>
      <c r="E29" s="62" t="s">
        <v>38</v>
      </c>
      <c r="G29" s="10"/>
      <c r="H29" s="10" t="s">
        <v>39</v>
      </c>
      <c r="I29" s="10"/>
      <c r="J29" s="10"/>
      <c r="K29" s="65"/>
    </row>
    <row r="30" ht="15.75" spans="1:12">
      <c r="A30" s="38"/>
      <c r="B30" s="51">
        <v>25</v>
      </c>
      <c r="C30" s="10">
        <v>7</v>
      </c>
      <c r="D30" s="10">
        <v>1.5</v>
      </c>
      <c r="E30" s="66">
        <v>10</v>
      </c>
      <c r="G30" s="40" t="s">
        <v>40</v>
      </c>
      <c r="H30" s="13" t="s">
        <v>41</v>
      </c>
      <c r="I30" s="13" t="s">
        <v>42</v>
      </c>
      <c r="K30" s="21"/>
    </row>
    <row r="31" ht="15.75" spans="1:12">
      <c r="A31" s="38"/>
      <c r="B31" s="51">
        <v>50</v>
      </c>
      <c r="C31" s="10">
        <v>14</v>
      </c>
      <c r="D31" s="10">
        <v>2.5</v>
      </c>
      <c r="E31" s="66">
        <v>10</v>
      </c>
      <c r="G31" s="51">
        <v>1</v>
      </c>
      <c r="H31" s="17">
        <v>21.5</v>
      </c>
      <c r="I31" s="17">
        <v>7</v>
      </c>
      <c r="K31" s="21"/>
    </row>
    <row r="32" ht="15.75" spans="1:12">
      <c r="A32" s="38"/>
      <c r="B32" s="51">
        <v>75</v>
      </c>
      <c r="C32" s="10">
        <v>20</v>
      </c>
      <c r="D32" s="10">
        <v>3.5</v>
      </c>
      <c r="E32" s="66">
        <v>10</v>
      </c>
      <c r="G32" s="51">
        <v>2</v>
      </c>
      <c r="H32" s="17">
        <v>25.5</v>
      </c>
      <c r="I32" s="17">
        <v>9</v>
      </c>
      <c r="K32" s="21"/>
    </row>
    <row r="33" ht="15.75" spans="1:13">
      <c r="A33" s="38" t="s">
        <v>43</v>
      </c>
      <c r="B33" s="67">
        <v>100</v>
      </c>
      <c r="C33" s="10">
        <v>25</v>
      </c>
      <c r="D33" s="21">
        <v>5</v>
      </c>
      <c r="E33" s="66">
        <v>10</v>
      </c>
      <c r="G33" s="51">
        <v>3</v>
      </c>
      <c r="H33" s="17">
        <v>29.5</v>
      </c>
      <c r="I33" s="17">
        <v>11</v>
      </c>
      <c r="K33" s="21"/>
    </row>
    <row r="34" ht="15.75" spans="1:13">
      <c r="A34" s="38" t="s">
        <v>44</v>
      </c>
      <c r="B34" s="51">
        <v>125</v>
      </c>
      <c r="C34" s="10">
        <v>30</v>
      </c>
      <c r="D34" s="21">
        <v>6.5</v>
      </c>
      <c r="E34" s="66">
        <v>10</v>
      </c>
      <c r="G34" s="51">
        <v>4</v>
      </c>
      <c r="H34" s="17">
        <v>33.5</v>
      </c>
      <c r="I34" s="17">
        <v>13</v>
      </c>
      <c r="K34" s="21"/>
    </row>
    <row r="35" ht="15.75" spans="1:13">
      <c r="A35" s="38"/>
      <c r="B35" s="51">
        <v>150</v>
      </c>
      <c r="C35" s="10">
        <v>35</v>
      </c>
      <c r="D35" s="21">
        <v>7.5</v>
      </c>
      <c r="E35" s="66">
        <v>10</v>
      </c>
      <c r="G35" s="51">
        <v>5</v>
      </c>
      <c r="H35" s="17">
        <v>37.5</v>
      </c>
      <c r="I35" s="17">
        <v>15</v>
      </c>
      <c r="K35" s="21"/>
    </row>
    <row r="36" ht="15.75" spans="1:13">
      <c r="A36" s="38" t="s">
        <v>45</v>
      </c>
      <c r="B36" s="51">
        <v>175</v>
      </c>
      <c r="C36" s="10">
        <v>40</v>
      </c>
      <c r="D36" s="21">
        <v>8.5</v>
      </c>
      <c r="E36" s="66">
        <v>10</v>
      </c>
      <c r="F36" t="s">
        <v>46</v>
      </c>
      <c r="G36" s="51">
        <v>6</v>
      </c>
      <c r="H36" s="17">
        <v>41.5</v>
      </c>
      <c r="I36" s="17">
        <v>17</v>
      </c>
      <c r="K36" s="21"/>
    </row>
    <row r="37" ht="15.75" spans="1:13">
      <c r="A37" s="38" t="s">
        <v>47</v>
      </c>
      <c r="B37" s="51">
        <v>200</v>
      </c>
      <c r="C37" s="10">
        <v>45</v>
      </c>
      <c r="D37" s="21">
        <v>9.5</v>
      </c>
      <c r="E37" s="66">
        <v>11</v>
      </c>
      <c r="F37" t="s">
        <v>48</v>
      </c>
      <c r="G37" s="51">
        <v>7</v>
      </c>
      <c r="H37" s="17">
        <v>45.5</v>
      </c>
      <c r="I37" s="17">
        <v>19</v>
      </c>
      <c r="K37" s="21"/>
    </row>
    <row r="38" ht="15.75" spans="1:13">
      <c r="A38" s="38"/>
      <c r="B38" s="67">
        <v>225</v>
      </c>
      <c r="C38" s="10">
        <v>50</v>
      </c>
      <c r="D38" s="21">
        <v>10.5</v>
      </c>
      <c r="E38" s="66">
        <v>11</v>
      </c>
      <c r="F38" t="s">
        <v>49</v>
      </c>
      <c r="G38" s="51">
        <v>8</v>
      </c>
      <c r="H38" s="17">
        <v>49.5</v>
      </c>
      <c r="I38" s="17">
        <v>21</v>
      </c>
      <c r="K38" s="21"/>
    </row>
    <row r="39" ht="15.75" spans="1:13">
      <c r="A39" s="38" t="s">
        <v>50</v>
      </c>
      <c r="B39" s="51">
        <v>250</v>
      </c>
      <c r="C39" s="10">
        <v>55</v>
      </c>
      <c r="D39" s="21">
        <v>11.5</v>
      </c>
      <c r="E39" s="66">
        <v>11</v>
      </c>
      <c r="F39" t="s">
        <v>51</v>
      </c>
      <c r="G39" s="51">
        <v>9</v>
      </c>
      <c r="H39" s="17">
        <v>53.5</v>
      </c>
      <c r="I39" s="17">
        <v>23</v>
      </c>
      <c r="K39" s="21"/>
    </row>
    <row r="40" ht="16.5" spans="1:13">
      <c r="A40" s="38" t="s">
        <v>52</v>
      </c>
      <c r="B40" s="51">
        <v>275</v>
      </c>
      <c r="C40" s="10">
        <v>60</v>
      </c>
      <c r="D40" s="21">
        <v>12.5</v>
      </c>
      <c r="E40" s="66">
        <v>11</v>
      </c>
      <c r="F40" t="s">
        <v>53</v>
      </c>
      <c r="G40" s="59">
        <v>10</v>
      </c>
      <c r="H40" s="32">
        <v>57.5</v>
      </c>
      <c r="I40" s="32">
        <v>25</v>
      </c>
      <c r="K40" s="21"/>
    </row>
    <row r="41" ht="16.5" spans="1:13">
      <c r="A41" s="38"/>
      <c r="B41" s="68">
        <v>300</v>
      </c>
      <c r="C41" s="10">
        <v>65</v>
      </c>
      <c r="D41" s="21">
        <v>13.5</v>
      </c>
      <c r="E41" s="55">
        <v>12</v>
      </c>
      <c r="F41" t="s">
        <v>54</v>
      </c>
      <c r="G41" s="10"/>
      <c r="H41" s="10"/>
      <c r="I41" s="69"/>
      <c r="J41" s="69"/>
      <c r="K41" s="20"/>
      <c r="M41" s="21"/>
    </row>
    <row r="42" ht="16.5" spans="1:13">
      <c r="A42" s="70" t="s">
        <v>55</v>
      </c>
      <c r="B42" s="68">
        <v>325</v>
      </c>
      <c r="C42" s="10">
        <v>70</v>
      </c>
      <c r="D42" s="21">
        <v>14.5</v>
      </c>
      <c r="E42" s="55">
        <v>12</v>
      </c>
      <c r="G42" s="71" t="s">
        <v>56</v>
      </c>
      <c r="H42" s="71" t="s">
        <v>57</v>
      </c>
      <c r="I42" s="72" t="s">
        <v>58</v>
      </c>
      <c r="J42" s="73" t="s">
        <v>59</v>
      </c>
      <c r="M42" s="21"/>
    </row>
    <row r="43" ht="15.75" spans="1:13">
      <c r="A43" s="70" t="s">
        <v>60</v>
      </c>
      <c r="B43" s="51">
        <v>350</v>
      </c>
      <c r="C43" s="10">
        <v>75</v>
      </c>
      <c r="D43" s="21">
        <v>15.5</v>
      </c>
      <c r="E43" s="55">
        <v>12</v>
      </c>
      <c r="G43" s="74" t="s">
        <v>61</v>
      </c>
      <c r="H43" s="74">
        <v>16</v>
      </c>
      <c r="I43" s="13">
        <v>8</v>
      </c>
      <c r="J43" s="52">
        <f>H43+2*I43</f>
        <v>32</v>
      </c>
      <c r="M43" s="21"/>
    </row>
    <row r="44" ht="16.5" spans="1:13">
      <c r="A44" s="70"/>
      <c r="B44" s="36">
        <v>375</v>
      </c>
      <c r="C44" s="60">
        <v>80</v>
      </c>
      <c r="D44" s="60">
        <v>10.5</v>
      </c>
      <c r="E44" s="61">
        <v>12</v>
      </c>
      <c r="G44" s="51" t="s">
        <v>62</v>
      </c>
      <c r="H44" s="51">
        <v>18</v>
      </c>
      <c r="I44" s="17">
        <v>7</v>
      </c>
      <c r="J44" s="55">
        <f>H44+2*I44</f>
        <v>32</v>
      </c>
    </row>
    <row r="45" ht="15.75" spans="1:13">
      <c r="A45" s="38" t="s">
        <v>63</v>
      </c>
      <c r="B45" s="51">
        <v>400</v>
      </c>
      <c r="C45" s="10">
        <v>85</v>
      </c>
      <c r="D45" s="10">
        <v>11</v>
      </c>
      <c r="E45" s="55">
        <v>12</v>
      </c>
      <c r="G45" s="51" t="s">
        <v>64</v>
      </c>
      <c r="H45" s="51">
        <v>21</v>
      </c>
      <c r="I45" s="17">
        <v>5</v>
      </c>
      <c r="J45" s="55">
        <f t="shared" ref="J45:J51" si="0">H45+2*I45</f>
        <v>31</v>
      </c>
    </row>
    <row r="46" ht="15.75" spans="1:13">
      <c r="A46" s="38"/>
      <c r="B46" s="51">
        <v>425</v>
      </c>
      <c r="C46" s="10">
        <v>90</v>
      </c>
      <c r="D46" s="10" t="s">
        <v>65</v>
      </c>
      <c r="E46" s="55">
        <v>12</v>
      </c>
      <c r="G46" s="51" t="s">
        <v>66</v>
      </c>
      <c r="H46" s="51">
        <v>22</v>
      </c>
      <c r="I46" s="17">
        <v>5</v>
      </c>
      <c r="J46" s="55">
        <f t="shared" si="0"/>
        <v>32</v>
      </c>
    </row>
    <row r="47" ht="15.75" spans="1:13">
      <c r="A47" s="38" t="s">
        <v>67</v>
      </c>
      <c r="B47" s="51">
        <v>450</v>
      </c>
      <c r="C47" s="10">
        <v>95</v>
      </c>
      <c r="D47" s="10" t="s">
        <v>68</v>
      </c>
      <c r="E47" s="55">
        <v>12</v>
      </c>
      <c r="G47" s="75" t="s">
        <v>69</v>
      </c>
      <c r="H47" s="75">
        <v>16</v>
      </c>
      <c r="I47" s="17">
        <v>8</v>
      </c>
      <c r="J47" s="55">
        <f t="shared" si="0"/>
        <v>32</v>
      </c>
    </row>
    <row r="48" ht="15.75" spans="1:13">
      <c r="A48" s="38"/>
      <c r="B48" s="51">
        <v>475</v>
      </c>
      <c r="C48" s="10">
        <v>100</v>
      </c>
      <c r="D48" s="10" t="s">
        <v>70</v>
      </c>
      <c r="E48" s="55">
        <v>12</v>
      </c>
      <c r="G48" s="51" t="s">
        <v>71</v>
      </c>
      <c r="H48" s="51">
        <v>14</v>
      </c>
      <c r="I48" s="17">
        <v>9</v>
      </c>
      <c r="J48" s="55">
        <f t="shared" si="0"/>
        <v>32</v>
      </c>
    </row>
    <row r="49" ht="15.75" spans="1:14">
      <c r="B49" s="67">
        <v>500</v>
      </c>
      <c r="C49" s="10">
        <v>105</v>
      </c>
      <c r="D49" s="68" t="s">
        <v>72</v>
      </c>
      <c r="E49" s="55">
        <v>12</v>
      </c>
      <c r="G49" s="51" t="s">
        <v>73</v>
      </c>
      <c r="H49" s="51">
        <v>20</v>
      </c>
      <c r="I49" s="17">
        <v>6</v>
      </c>
      <c r="J49" s="55">
        <f t="shared" si="0"/>
        <v>32</v>
      </c>
    </row>
    <row r="50" ht="15.75" spans="1:14">
      <c r="A50" s="38"/>
      <c r="B50" s="67">
        <v>600</v>
      </c>
      <c r="C50" s="68"/>
      <c r="D50" s="68">
        <v>14.5</v>
      </c>
      <c r="E50" s="55">
        <v>13</v>
      </c>
      <c r="G50" s="51" t="s">
        <v>74</v>
      </c>
      <c r="H50" s="51">
        <v>17</v>
      </c>
      <c r="I50" s="17">
        <v>4</v>
      </c>
      <c r="J50" s="55">
        <f t="shared" si="0"/>
        <v>25</v>
      </c>
    </row>
    <row r="51" ht="16.5" spans="1:14">
      <c r="B51" s="67">
        <v>750</v>
      </c>
      <c r="C51" s="68"/>
      <c r="D51" s="68">
        <v>15</v>
      </c>
      <c r="E51" s="55">
        <v>13</v>
      </c>
      <c r="G51" s="59" t="s">
        <v>75</v>
      </c>
      <c r="H51" s="59">
        <v>26</v>
      </c>
      <c r="I51" s="32">
        <v>3</v>
      </c>
      <c r="J51" s="61">
        <f t="shared" si="0"/>
        <v>32</v>
      </c>
    </row>
    <row r="52" ht="16.5" spans="1:14">
      <c r="B52" s="36">
        <v>1000</v>
      </c>
      <c r="C52" s="60"/>
      <c r="D52" s="60">
        <v>15.5</v>
      </c>
      <c r="E52" s="61">
        <v>13</v>
      </c>
      <c r="H52" s="10"/>
      <c r="I52" s="10"/>
    </row>
    <row r="53" spans="1:14">
      <c r="G53" s="10"/>
      <c r="H53" s="10"/>
      <c r="I53" s="10"/>
    </row>
    <row r="54" ht="15.75" spans="1:14">
      <c r="G54" s="10"/>
      <c r="H54" s="10"/>
      <c r="I54" s="10"/>
    </row>
    <row r="55" ht="75.75" spans="1:14">
      <c r="A55">
        <f>147*2*0.8</f>
        <v>235.2</v>
      </c>
      <c r="C55" s="76" t="s">
        <v>76</v>
      </c>
      <c r="D55" s="76" t="s">
        <v>77</v>
      </c>
      <c r="E55" s="76" t="s">
        <v>78</v>
      </c>
      <c r="G55" s="10"/>
      <c r="H55" s="77" t="s">
        <v>79</v>
      </c>
      <c r="I55" t="s">
        <v>80</v>
      </c>
      <c r="J55" s="21"/>
    </row>
    <row r="56" ht="90.75" spans="1:14">
      <c r="C56" s="76" t="s">
        <v>81</v>
      </c>
      <c r="E56" s="10"/>
      <c r="F56" s="10"/>
      <c r="G56" s="10"/>
      <c r="H56" s="10" t="s">
        <v>82</v>
      </c>
      <c r="I56" t="s">
        <v>83</v>
      </c>
      <c r="J56" s="10" t="s">
        <v>84</v>
      </c>
    </row>
    <row r="57" spans="1:14">
      <c r="E57" s="78"/>
      <c r="F57" s="10"/>
      <c r="G57" s="10"/>
      <c r="H57" s="10" t="s">
        <v>82</v>
      </c>
      <c r="I57" t="s">
        <v>85</v>
      </c>
      <c r="J57" s="10" t="s">
        <v>84</v>
      </c>
    </row>
    <row r="58" spans="1:14">
      <c r="C58" s="10"/>
      <c r="E58" s="10"/>
      <c r="F58" s="10"/>
      <c r="G58" s="10"/>
      <c r="H58" s="10" t="s">
        <v>82</v>
      </c>
      <c r="I58" t="s">
        <v>86</v>
      </c>
      <c r="J58" s="10" t="s">
        <v>87</v>
      </c>
    </row>
    <row r="59" ht="13" customHeight="1" spans="1:14">
      <c r="E59" s="10"/>
      <c r="F59" s="10"/>
      <c r="G59" s="10"/>
      <c r="H59" s="10" t="s">
        <v>88</v>
      </c>
      <c r="I59" s="77" t="s">
        <v>89</v>
      </c>
      <c r="J59" s="10" t="s">
        <v>87</v>
      </c>
    </row>
    <row r="60" spans="1:14">
      <c r="E60" s="10"/>
      <c r="F60" s="10"/>
      <c r="G60" s="10"/>
      <c r="H60" s="10" t="s">
        <v>90</v>
      </c>
      <c r="I60" s="77" t="s">
        <v>91</v>
      </c>
      <c r="J60" s="10" t="s">
        <v>92</v>
      </c>
    </row>
    <row r="61" ht="15.75" spans="1:14">
      <c r="A61" s="79"/>
      <c r="B61" s="80"/>
      <c r="C61" s="81"/>
      <c r="D61" s="81"/>
      <c r="E61" s="21"/>
      <c r="F61" s="21"/>
      <c r="G61" s="21"/>
      <c r="H61" s="21"/>
      <c r="I61" s="21"/>
      <c r="J61" s="21"/>
      <c r="K61" s="21"/>
      <c r="M61" s="10"/>
      <c r="N61" s="10"/>
    </row>
    <row r="62" spans="1:14">
      <c r="A62" s="10"/>
      <c r="F62" s="10"/>
      <c r="G62" s="10"/>
      <c r="H62" s="10"/>
      <c r="I62" s="10"/>
      <c r="J62" s="10"/>
      <c r="K62" s="10"/>
      <c r="M62" s="10"/>
      <c r="N62" s="10"/>
    </row>
    <row r="63" spans="1:14">
      <c r="A63" s="10"/>
      <c r="F63" s="10"/>
      <c r="G63" s="82" t="s">
        <v>61</v>
      </c>
      <c r="H63" s="82"/>
      <c r="I63" s="82"/>
      <c r="J63" s="10"/>
      <c r="K63" s="10"/>
      <c r="M63" s="10"/>
      <c r="N63" s="10"/>
    </row>
    <row r="64" spans="1:14">
      <c r="A64" s="10"/>
      <c r="F64" s="10"/>
      <c r="G64" s="10" t="s">
        <v>62</v>
      </c>
      <c r="H64" s="10"/>
      <c r="I64" s="10"/>
      <c r="J64" s="10"/>
      <c r="K64" s="10"/>
      <c r="L64" s="10"/>
      <c r="M64" s="10"/>
      <c r="N64" s="10"/>
    </row>
    <row r="65" spans="1:14">
      <c r="A65" s="10"/>
      <c r="F65" s="10"/>
      <c r="G65" s="10" t="s">
        <v>64</v>
      </c>
      <c r="H65" s="10"/>
      <c r="I65" s="10"/>
      <c r="J65" s="10"/>
      <c r="K65" s="10"/>
      <c r="L65" s="10"/>
      <c r="M65" s="10"/>
      <c r="N65" s="10"/>
    </row>
    <row r="66" spans="1:14">
      <c r="A66" s="10"/>
      <c r="F66" s="10"/>
      <c r="G66" s="10" t="s">
        <v>66</v>
      </c>
      <c r="H66" s="10"/>
      <c r="I66" s="10"/>
      <c r="J66" s="10"/>
      <c r="K66" s="10"/>
      <c r="M66" s="10"/>
      <c r="N66" s="10"/>
    </row>
    <row r="67" ht="15.75" spans="1:14">
      <c r="A67" s="79"/>
      <c r="F67" s="10"/>
      <c r="G67" s="83" t="s">
        <v>69</v>
      </c>
      <c r="H67" s="83"/>
      <c r="I67" s="83"/>
      <c r="J67" s="84"/>
      <c r="K67" s="84"/>
      <c r="L67" s="84"/>
      <c r="M67" s="10"/>
      <c r="N67" s="10"/>
    </row>
    <row r="68" spans="1:14">
      <c r="A68" s="10"/>
      <c r="F68" s="10"/>
      <c r="G68" s="10" t="s">
        <v>71</v>
      </c>
      <c r="H68" s="10"/>
      <c r="I68" s="10"/>
      <c r="J68" s="10"/>
      <c r="K68" s="10"/>
      <c r="M68" s="10"/>
      <c r="N68" s="10"/>
    </row>
    <row r="69" spans="1:14">
      <c r="A69" s="10"/>
      <c r="F69" s="10"/>
      <c r="G69" s="10" t="s">
        <v>74</v>
      </c>
      <c r="H69" s="10"/>
      <c r="I69" s="10"/>
      <c r="J69" s="10"/>
      <c r="K69" s="10"/>
      <c r="L69" s="10"/>
      <c r="M69" s="10"/>
      <c r="N69" s="10"/>
    </row>
    <row r="70" spans="1:14">
      <c r="A70" s="10"/>
      <c r="F70" s="10"/>
      <c r="G70" s="10" t="s">
        <v>73</v>
      </c>
      <c r="H70" s="10"/>
      <c r="I70" s="10"/>
      <c r="J70" s="10"/>
      <c r="K70" s="10"/>
      <c r="L70" s="10"/>
      <c r="M70" s="10"/>
      <c r="N70" s="10"/>
    </row>
    <row r="71" spans="1:14">
      <c r="A71" s="10"/>
      <c r="F71" s="10"/>
      <c r="G71" s="10" t="s">
        <v>75</v>
      </c>
      <c r="H71" s="10"/>
      <c r="I71" s="10"/>
      <c r="J71" s="10"/>
      <c r="K71" s="10"/>
    </row>
    <row r="72" spans="1:14">
      <c r="A72" s="10"/>
      <c r="F72" s="10"/>
      <c r="G72" s="10"/>
      <c r="H72" s="10"/>
      <c r="I72" s="10"/>
      <c r="J72" s="10"/>
      <c r="K72" s="10"/>
    </row>
    <row r="73" spans="1:14">
      <c r="A73" s="10"/>
      <c r="F73" s="10"/>
      <c r="G73" s="10"/>
      <c r="H73" s="10"/>
      <c r="I73" s="10"/>
      <c r="J73" s="10"/>
      <c r="K73" s="10"/>
    </row>
    <row r="74" spans="1:14">
      <c r="A74" s="10"/>
      <c r="F74" s="69"/>
      <c r="G74" s="69"/>
      <c r="H74" s="10">
        <v>5</v>
      </c>
      <c r="I74" s="10">
        <v>3</v>
      </c>
      <c r="J74" s="10"/>
      <c r="K74" s="10"/>
    </row>
    <row r="75" spans="1:14">
      <c r="F75" s="10"/>
      <c r="G75" s="10"/>
      <c r="H75" s="78"/>
      <c r="I75" s="10"/>
      <c r="J75" s="10"/>
      <c r="K75" s="10"/>
    </row>
    <row r="76" spans="1:14">
      <c r="F76" s="10"/>
      <c r="G76" s="10"/>
      <c r="H76" s="10"/>
      <c r="I76" s="10"/>
      <c r="J76" s="10"/>
      <c r="K76" s="10"/>
    </row>
    <row r="77" spans="1:14">
      <c r="F77" s="10"/>
      <c r="G77" s="10"/>
      <c r="H77" s="10"/>
      <c r="I77" s="10"/>
      <c r="J77" s="10"/>
      <c r="K77" s="10"/>
    </row>
    <row r="78" spans="1:14">
      <c r="F78" s="10"/>
      <c r="H78" s="10"/>
      <c r="I78" s="10"/>
      <c r="J78" s="10"/>
      <c r="K78" s="10"/>
    </row>
    <row r="79" spans="1:14">
      <c r="F79" s="10"/>
      <c r="H79" s="10"/>
      <c r="I79" s="10"/>
      <c r="J79" s="10"/>
      <c r="K79" s="10"/>
    </row>
    <row r="80" spans="1:14">
      <c r="F80" s="10"/>
      <c r="G80" s="10"/>
      <c r="H80" s="10"/>
      <c r="I80" s="10"/>
      <c r="J80" s="10"/>
      <c r="K80" s="10"/>
    </row>
    <row r="81" spans="1:11">
      <c r="F81" s="10"/>
      <c r="G81" s="10"/>
      <c r="H81" s="10"/>
      <c r="I81" s="10"/>
      <c r="J81" s="10"/>
      <c r="K81" s="10"/>
    </row>
    <row r="82" spans="1:11">
      <c r="F82" s="10"/>
      <c r="G82" s="10"/>
      <c r="H82" s="10"/>
      <c r="I82" s="10"/>
      <c r="J82" s="10"/>
      <c r="K82" s="10"/>
    </row>
    <row r="83" spans="1:11">
      <c r="F83" s="10"/>
      <c r="G83" s="10"/>
      <c r="H83" s="10"/>
      <c r="I83" s="10"/>
      <c r="J83" s="10"/>
      <c r="K83" s="10"/>
    </row>
    <row r="84" spans="1:11">
      <c r="F84" s="85"/>
      <c r="G84" s="10"/>
      <c r="H84" s="10"/>
      <c r="I84" s="10"/>
      <c r="J84" s="10"/>
      <c r="K84" s="10"/>
    </row>
    <row r="85" spans="1:11">
      <c r="B85" s="10"/>
      <c r="C85" s="10">
        <f>AVERAGE(H43:H51)</f>
        <v>18.8888888888889</v>
      </c>
      <c r="D85" s="10">
        <f>AVERAGE(I43:I51)</f>
        <v>6.11111111111111</v>
      </c>
      <c r="E85" s="10"/>
      <c r="F85" s="10"/>
      <c r="G85" s="10"/>
      <c r="H85" s="10"/>
      <c r="I85" s="10"/>
      <c r="J85" s="10"/>
      <c r="K85" s="10"/>
    </row>
    <row r="86" spans="1:11">
      <c r="E86" s="10"/>
      <c r="I86" s="10"/>
      <c r="J86" s="10"/>
      <c r="K86" s="10"/>
    </row>
    <row r="87" spans="1:11">
      <c r="A87" s="10"/>
      <c r="B87" s="10"/>
      <c r="C87" s="10"/>
      <c r="D87" s="10"/>
      <c r="E87" s="10"/>
      <c r="F87" s="85"/>
      <c r="G87" s="10"/>
      <c r="H87" s="10"/>
      <c r="I87" s="10"/>
      <c r="J87" s="10"/>
      <c r="K87" s="10"/>
    </row>
    <row r="88" spans="1:1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spans="1:11">
      <c r="B89" s="10"/>
      <c r="C89" s="10"/>
      <c r="D89" s="10"/>
      <c r="E89" s="10"/>
      <c r="F89" s="10"/>
    </row>
    <row r="90" spans="1:11">
      <c r="A90" s="10"/>
      <c r="B90" s="10"/>
      <c r="C90" s="10"/>
      <c r="D90" s="10"/>
      <c r="E90" s="10"/>
      <c r="F90" s="10"/>
    </row>
    <row r="91" spans="1:11">
      <c r="C91" s="10"/>
      <c r="D91" s="10"/>
      <c r="E91" s="10"/>
      <c r="F91" s="10"/>
    </row>
    <row r="92" spans="1:11">
      <c r="C92" s="10"/>
      <c r="D92" s="10"/>
      <c r="E92" s="10"/>
      <c r="F92" s="77"/>
    </row>
    <row r="93" spans="1:11">
      <c r="C93" s="10"/>
      <c r="D93" s="10"/>
      <c r="E93" s="10"/>
      <c r="F93" s="10"/>
    </row>
    <row r="94" spans="1:11">
      <c r="C94" s="10"/>
      <c r="D94" s="10"/>
      <c r="E94" s="10"/>
      <c r="F94" s="10"/>
    </row>
    <row r="95" spans="1:11">
      <c r="C95" s="10"/>
      <c r="D95" s="10"/>
      <c r="E95" s="10"/>
      <c r="F95" s="10"/>
    </row>
    <row r="96" spans="1:11">
      <c r="C96" s="10"/>
      <c r="D96" s="10"/>
      <c r="E96" s="10"/>
      <c r="F96" s="10"/>
    </row>
    <row r="97" spans="3:6">
      <c r="C97" s="10"/>
      <c r="D97" s="10"/>
      <c r="E97" s="10"/>
      <c r="F97" s="10"/>
    </row>
    <row r="98" spans="3:6">
      <c r="C98" s="10"/>
      <c r="D98" s="10"/>
      <c r="E98" s="10"/>
      <c r="F98" s="10"/>
    </row>
    <row r="99" spans="3:6">
      <c r="C99" s="10"/>
      <c r="D99" s="10"/>
      <c r="E99" s="10"/>
      <c r="F99" s="10"/>
    </row>
    <row r="100" spans="3:6">
      <c r="C100" s="10"/>
      <c r="D100" s="10"/>
      <c r="E100" s="10"/>
      <c r="F100" s="10"/>
    </row>
    <row r="101" spans="3:6">
      <c r="C101" s="10"/>
      <c r="D101" s="10"/>
      <c r="E101" s="10"/>
      <c r="F101" s="10"/>
    </row>
  </sheetData>
  <mergeCells count="6">
    <mergeCell ref="C16:F16"/>
    <mergeCell ref="C17:F17"/>
    <mergeCell ref="C27:D27"/>
    <mergeCell ref="C28:D28"/>
    <mergeCell ref="K64:L64"/>
    <mergeCell ref="K65:L65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1"/>
  <sheetViews>
    <sheetView workbookViewId="0">
      <selection activeCell="N11" sqref="N11"/>
    </sheetView>
  </sheetViews>
  <sheetFormatPr defaultColWidth="9.14285714285714" defaultRowHeight="18.75"/>
  <cols>
    <col min="1" max="1" width="9.14285714285714" style="2"/>
    <col min="2" max="2" width="12.5714285714286" style="3" customWidth="1"/>
    <col min="3" max="3" width="11.1428571428571" style="3" customWidth="1"/>
    <col min="4" max="4" width="14.8571428571429" style="3" customWidth="1"/>
    <col min="5" max="5" width="18.1428571428571" style="3" customWidth="1"/>
    <col min="6" max="6" width="11.2857142857143" style="3" customWidth="1"/>
    <col min="7" max="7" width="12" style="3" customWidth="1"/>
    <col min="8" max="8" width="12.1428571428571" style="3" customWidth="1"/>
    <col min="9" max="9" width="14.1428571428571" style="3" customWidth="1"/>
    <col min="10" max="10" width="13.7142857142857" style="3" customWidth="1"/>
    <col min="11" max="11" width="11.7142857142857" style="3" customWidth="1"/>
    <col min="12" max="12" width="17.2857142857143" style="3" customWidth="1"/>
    <col min="13" max="13" width="12.1428571428571" style="3" customWidth="1"/>
    <col min="14" max="14" width="11" style="3" customWidth="1"/>
    <col min="15" max="16384" width="9.14285714285714" style="3"/>
  </cols>
  <sheetData>
    <row r="2" s="1" customFormat="1" ht="19.5" spans="1:15">
      <c r="A2" s="4"/>
      <c r="B2" s="5" t="s">
        <v>93</v>
      </c>
      <c r="C2" s="5" t="s">
        <v>94</v>
      </c>
      <c r="D2" s="5" t="s">
        <v>95</v>
      </c>
      <c r="E2" s="5" t="s">
        <v>96</v>
      </c>
      <c r="F2" s="5" t="s">
        <v>97</v>
      </c>
      <c r="G2" s="5" t="s">
        <v>98</v>
      </c>
      <c r="H2" s="5" t="s">
        <v>99</v>
      </c>
      <c r="I2" s="5" t="s">
        <v>100</v>
      </c>
      <c r="J2" s="5" t="s">
        <v>101</v>
      </c>
      <c r="K2" s="5" t="s">
        <v>102</v>
      </c>
      <c r="L2" s="5" t="s">
        <v>103</v>
      </c>
      <c r="M2" s="5"/>
      <c r="N2" s="5"/>
      <c r="O2" s="5"/>
    </row>
    <row r="3" spans="1:15">
      <c r="A3" s="6">
        <v>2</v>
      </c>
      <c r="B3" s="7" t="s">
        <v>104</v>
      </c>
      <c r="C3" s="7" t="s">
        <v>104</v>
      </c>
      <c r="D3" s="7" t="s">
        <v>105</v>
      </c>
      <c r="E3" s="7" t="s">
        <v>106</v>
      </c>
      <c r="F3" s="7" t="s">
        <v>104</v>
      </c>
      <c r="G3" s="7" t="s">
        <v>104</v>
      </c>
      <c r="H3" s="7" t="s">
        <v>107</v>
      </c>
      <c r="I3" s="7" t="s">
        <v>108</v>
      </c>
      <c r="J3" s="7" t="s">
        <v>104</v>
      </c>
      <c r="K3" s="7" t="s">
        <v>107</v>
      </c>
      <c r="L3" s="7" t="s">
        <v>107</v>
      </c>
      <c r="M3" s="7"/>
      <c r="N3" s="7"/>
      <c r="O3" s="7"/>
    </row>
    <row r="4" spans="1:15">
      <c r="A4" s="6">
        <v>3</v>
      </c>
      <c r="B4" s="7" t="s">
        <v>107</v>
      </c>
      <c r="C4" s="7" t="s">
        <v>104</v>
      </c>
      <c r="D4" s="7" t="s">
        <v>107</v>
      </c>
      <c r="E4" s="7" t="s">
        <v>108</v>
      </c>
      <c r="F4" s="7" t="s">
        <v>107</v>
      </c>
      <c r="G4" s="7" t="s">
        <v>107</v>
      </c>
      <c r="H4" s="7" t="s">
        <v>104</v>
      </c>
      <c r="I4" s="7" t="s">
        <v>108</v>
      </c>
      <c r="J4" s="7" t="s">
        <v>104</v>
      </c>
      <c r="K4" s="7" t="s">
        <v>107</v>
      </c>
      <c r="L4" s="7" t="s">
        <v>107</v>
      </c>
      <c r="M4" s="7"/>
      <c r="N4" s="7"/>
      <c r="O4" s="7"/>
    </row>
    <row r="5" ht="34.5" spans="1:15">
      <c r="A5" s="6">
        <v>4</v>
      </c>
      <c r="B5" s="8" t="s">
        <v>109</v>
      </c>
      <c r="C5" s="7" t="s">
        <v>107</v>
      </c>
      <c r="D5" s="7"/>
      <c r="E5" s="7" t="s">
        <v>108</v>
      </c>
      <c r="F5" s="8" t="s">
        <v>109</v>
      </c>
      <c r="G5" s="7" t="s">
        <v>107</v>
      </c>
      <c r="H5" s="7" t="s">
        <v>107</v>
      </c>
      <c r="I5" s="7" t="s">
        <v>108</v>
      </c>
      <c r="J5" s="7" t="s">
        <v>107</v>
      </c>
      <c r="K5" s="9" t="s">
        <v>110</v>
      </c>
      <c r="L5" s="7" t="s">
        <v>104</v>
      </c>
      <c r="M5" s="7"/>
      <c r="N5" s="7"/>
      <c r="O5" s="7"/>
    </row>
    <row r="6" ht="34.5" spans="1:15">
      <c r="A6" s="6">
        <v>5</v>
      </c>
      <c r="B6" s="7" t="s">
        <v>107</v>
      </c>
      <c r="C6" s="8" t="s">
        <v>109</v>
      </c>
      <c r="D6" s="7" t="s">
        <v>107</v>
      </c>
      <c r="E6" s="7" t="s">
        <v>108</v>
      </c>
      <c r="F6" s="7" t="s">
        <v>107</v>
      </c>
      <c r="G6" s="8" t="s">
        <v>109</v>
      </c>
      <c r="H6" s="7" t="s">
        <v>104</v>
      </c>
      <c r="I6" s="7"/>
      <c r="J6" s="7" t="s">
        <v>107</v>
      </c>
      <c r="K6" s="7"/>
      <c r="L6" s="7" t="s">
        <v>107</v>
      </c>
      <c r="M6" s="7"/>
      <c r="N6" s="7"/>
      <c r="O6" s="7"/>
    </row>
    <row r="7" spans="1:15">
      <c r="A7" s="6">
        <v>6</v>
      </c>
      <c r="B7" s="7" t="s">
        <v>111</v>
      </c>
      <c r="C7" s="7" t="s">
        <v>111</v>
      </c>
      <c r="D7" s="7" t="s">
        <v>111</v>
      </c>
      <c r="E7" s="7" t="s">
        <v>111</v>
      </c>
      <c r="F7" s="7" t="s">
        <v>111</v>
      </c>
      <c r="G7" s="7" t="s">
        <v>111</v>
      </c>
      <c r="H7" s="7" t="s">
        <v>111</v>
      </c>
      <c r="I7" s="7" t="s">
        <v>111</v>
      </c>
      <c r="J7" s="7" t="s">
        <v>111</v>
      </c>
      <c r="K7" s="7" t="s">
        <v>111</v>
      </c>
      <c r="L7" s="7" t="s">
        <v>111</v>
      </c>
      <c r="M7" s="7"/>
      <c r="N7" s="7"/>
      <c r="O7" s="7"/>
    </row>
    <row r="8" spans="1:15">
      <c r="A8" s="6">
        <v>7</v>
      </c>
      <c r="B8" s="7"/>
      <c r="C8" s="7" t="s">
        <v>107</v>
      </c>
      <c r="D8" s="7"/>
      <c r="E8" s="7" t="s">
        <v>108</v>
      </c>
      <c r="F8" s="7"/>
      <c r="G8" s="7" t="s">
        <v>107</v>
      </c>
      <c r="H8" s="7" t="s">
        <v>107</v>
      </c>
      <c r="I8" s="7" t="s">
        <v>108</v>
      </c>
      <c r="J8" s="7" t="s">
        <v>107</v>
      </c>
      <c r="K8" s="7" t="s">
        <v>107</v>
      </c>
      <c r="L8" s="7" t="s">
        <v>107</v>
      </c>
      <c r="M8" s="7"/>
      <c r="N8" s="7"/>
      <c r="O8" s="7"/>
    </row>
    <row r="9" spans="1:15">
      <c r="A9" s="6">
        <v>8</v>
      </c>
      <c r="B9" s="7"/>
      <c r="C9" s="7"/>
      <c r="D9" s="7"/>
      <c r="E9" s="7" t="s">
        <v>112</v>
      </c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>
      <c r="A10" s="6">
        <v>9</v>
      </c>
      <c r="B10" s="7" t="s">
        <v>107</v>
      </c>
      <c r="C10" s="7"/>
      <c r="D10" s="7" t="s">
        <v>107</v>
      </c>
      <c r="E10" s="7" t="s">
        <v>113</v>
      </c>
      <c r="F10" s="7"/>
      <c r="G10" s="7"/>
      <c r="H10" s="7"/>
      <c r="I10" s="7" t="s">
        <v>108</v>
      </c>
      <c r="J10" s="7"/>
      <c r="K10" s="7" t="s">
        <v>107</v>
      </c>
      <c r="L10" s="7"/>
      <c r="M10" s="7"/>
      <c r="N10" s="7"/>
      <c r="O10" s="7"/>
    </row>
    <row r="11" spans="1:15">
      <c r="A11" s="6">
        <v>10</v>
      </c>
      <c r="B11" s="7" t="s">
        <v>114</v>
      </c>
      <c r="C11" s="7" t="s">
        <v>114</v>
      </c>
      <c r="D11" s="7" t="s">
        <v>114</v>
      </c>
      <c r="E11" s="7" t="s">
        <v>114</v>
      </c>
      <c r="F11" s="7" t="s">
        <v>114</v>
      </c>
      <c r="G11" s="7" t="s">
        <v>114</v>
      </c>
      <c r="H11" s="7" t="s">
        <v>114</v>
      </c>
      <c r="I11" s="7" t="s">
        <v>114</v>
      </c>
      <c r="J11" s="7"/>
      <c r="K11" s="7" t="s">
        <v>114</v>
      </c>
      <c r="L11" s="7" t="s">
        <v>114</v>
      </c>
      <c r="M11" s="7"/>
      <c r="N11" s="7"/>
      <c r="O11" s="7"/>
    </row>
  </sheetData>
  <mergeCells count="3">
    <mergeCell ref="G8:G9"/>
    <mergeCell ref="J8:J9"/>
    <mergeCell ref="L8:L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Standard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Ghavao</dc:creator>
  <cp:lastModifiedBy>Dave Doublee</cp:lastModifiedBy>
  <dcterms:created xsi:type="dcterms:W3CDTF">2018-09-02T12:33:00Z</dcterms:created>
  <dcterms:modified xsi:type="dcterms:W3CDTF">2026-05-25T17:36:11Z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ICV">
    <vt:lpwstr>6050BD160FB649F59AF7ACC2AD2F0949</vt:lpwstr>
  </property>
  <property fmtid="{D5CDD505-2E9C-101B-9397-08002B2CF9AE}" pid="4" name="MSIP_Label_45943423-0614-406f-8d5e-6a42b298e941_Enabled">
    <vt:lpwstr>true</vt:lpwstr>
  </property>
  <property fmtid="{D5CDD505-2E9C-101B-9397-08002B2CF9AE}" pid="5" name="MSIP_Label_45943423-0614-406f-8d5e-6a42b298e941_SetDate">
    <vt:lpwstr>2023-06-26T15:01:54Z</vt:lpwstr>
  </property>
  <property fmtid="{D5CDD505-2E9C-101B-9397-08002B2CF9AE}" pid="6" name="MSIP_Label_45943423-0614-406f-8d5e-6a42b298e941_Method">
    <vt:lpwstr>Standard</vt:lpwstr>
  </property>
  <property fmtid="{D5CDD505-2E9C-101B-9397-08002B2CF9AE}" pid="7" name="MSIP_Label_45943423-0614-406f-8d5e-6a42b298e941_Name">
    <vt:lpwstr>Internal</vt:lpwstr>
  </property>
  <property fmtid="{D5CDD505-2E9C-101B-9397-08002B2CF9AE}" pid="8" name="MSIP_Label_45943423-0614-406f-8d5e-6a42b298e941_SiteId">
    <vt:lpwstr>02f22272-3538-4a5f-ae4e-64cd13d9890e</vt:lpwstr>
  </property>
  <property fmtid="{D5CDD505-2E9C-101B-9397-08002B2CF9AE}" pid="9" name="MSIP_Label_45943423-0614-406f-8d5e-6a42b298e941_ActionId">
    <vt:lpwstr>b5b5c8fc-c455-4f84-b8cf-d17785fc3009</vt:lpwstr>
  </property>
  <property fmtid="{D5CDD505-2E9C-101B-9397-08002B2CF9AE}" pid="10" name="MSIP_Label_45943423-0614-406f-8d5e-6a42b298e941_ContentBits">
    <vt:lpwstr>0</vt:lpwstr>
  </property>
  <property fmtid="{D5CDD505-2E9C-101B-9397-08002B2CF9AE}" pid="11" name="CalculationRule">
    <vt:i4>0</vt:i4>
  </property>
</Properties>
</file>